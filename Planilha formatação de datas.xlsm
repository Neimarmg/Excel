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60" windowWidth="20115" windowHeight="8010" activeTab="1"/>
  </bookViews>
  <sheets>
    <sheet name="Configuracão" sheetId="4" r:id="rId1"/>
    <sheet name="JAN" sheetId="2" r:id="rId2"/>
    <sheet name="FEV" sheetId="3" r:id="rId3"/>
    <sheet name="MAR" sheetId="5" r:id="rId4"/>
    <sheet name="ABR" sheetId="6" r:id="rId5"/>
    <sheet name="MAI" sheetId="7" r:id="rId6"/>
    <sheet name="JUN" sheetId="8" r:id="rId7"/>
    <sheet name="JUL" sheetId="9" r:id="rId8"/>
    <sheet name="AGO" sheetId="10" r:id="rId9"/>
    <sheet name="SET" sheetId="11" r:id="rId10"/>
    <sheet name="OUT" sheetId="12" r:id="rId11"/>
    <sheet name="NOV" sheetId="14" r:id="rId12"/>
    <sheet name="DEZ" sheetId="13" r:id="rId13"/>
    <sheet name="Horas" sheetId="1" r:id="rId14"/>
  </sheets>
  <functionGroups builtInGroupCount="17"/>
  <calcPr calcId="144525"/>
</workbook>
</file>

<file path=xl/calcChain.xml><?xml version="1.0" encoding="utf-8"?>
<calcChain xmlns="http://schemas.openxmlformats.org/spreadsheetml/2006/main">
  <c r="C1" i="2" l="1"/>
  <c r="D1" i="2" s="1"/>
  <c r="B1" i="2"/>
  <c r="C3" i="2"/>
  <c r="C31" i="2"/>
  <c r="C23" i="2"/>
  <c r="C19" i="2"/>
  <c r="C15" i="2"/>
  <c r="C11" i="2"/>
  <c r="C7" i="2"/>
  <c r="C30" i="2"/>
  <c r="C26" i="2"/>
  <c r="C22" i="2"/>
  <c r="C18" i="2"/>
  <c r="C14" i="2"/>
  <c r="C10" i="2"/>
  <c r="C6" i="2"/>
  <c r="C29" i="2"/>
  <c r="C13" i="2"/>
  <c r="C9" i="2"/>
  <c r="C5" i="2"/>
  <c r="C27" i="2"/>
  <c r="C25" i="2"/>
  <c r="C21" i="2"/>
  <c r="C17" i="2"/>
  <c r="C32" i="2"/>
  <c r="C28" i="2"/>
  <c r="C24" i="2"/>
  <c r="C20" i="2"/>
  <c r="C16" i="2"/>
  <c r="C12" i="2"/>
  <c r="C8" i="2"/>
  <c r="C4" i="2"/>
  <c r="B6" i="1"/>
  <c r="B5" i="1"/>
  <c r="B6" i="2" l="1"/>
  <c r="B30" i="2"/>
  <c r="B18" i="2"/>
  <c r="B5" i="2"/>
  <c r="B21" i="2"/>
  <c r="B13" i="2"/>
  <c r="B9" i="2"/>
  <c r="B4" i="2"/>
  <c r="B26" i="2"/>
  <c r="B14" i="2"/>
  <c r="B29" i="2"/>
  <c r="B17" i="2"/>
  <c r="B32" i="2"/>
  <c r="B28" i="2"/>
  <c r="B24" i="2"/>
  <c r="B20" i="2"/>
  <c r="B16" i="2"/>
  <c r="B12" i="2"/>
  <c r="B8" i="2"/>
  <c r="B3" i="2"/>
  <c r="B22" i="2"/>
  <c r="B10" i="2"/>
  <c r="B25" i="2"/>
  <c r="B31" i="2"/>
  <c r="B27" i="2"/>
  <c r="B23" i="2"/>
  <c r="B19" i="2"/>
  <c r="B15" i="2"/>
  <c r="B11" i="2"/>
  <c r="B7" i="2"/>
</calcChain>
</file>

<file path=xl/comments1.xml><?xml version="1.0" encoding="utf-8"?>
<comments xmlns="http://schemas.openxmlformats.org/spreadsheetml/2006/main">
  <authors>
    <author>neimarmoises</author>
  </authors>
  <commentList>
    <comment ref="B22" authorId="0">
      <text>
        <r>
          <rPr>
            <sz val="9"/>
            <color indexed="81"/>
            <rFont val="Tahoma"/>
            <family val="2"/>
          </rPr>
          <t>Formato da fonte
MA = exibe letras maiuscolas
MI  = exibe letras mainuscolas</t>
        </r>
      </text>
    </comment>
  </commentList>
</comments>
</file>

<file path=xl/sharedStrings.xml><?xml version="1.0" encoding="utf-8"?>
<sst xmlns="http://schemas.openxmlformats.org/spreadsheetml/2006/main" count="18" uniqueCount="18">
  <si>
    <t>HoraPadrão</t>
  </si>
  <si>
    <t>Total de horas</t>
  </si>
  <si>
    <t>Valor a receber</t>
  </si>
  <si>
    <t xml:space="preserve">Valor hora </t>
  </si>
  <si>
    <t>Hora trabalhada (Mim)</t>
  </si>
  <si>
    <t>Ano base:</t>
  </si>
  <si>
    <t>Hora padrão:</t>
  </si>
  <si>
    <t>Formato dia da semana:</t>
  </si>
  <si>
    <t>mmmm</t>
  </si>
  <si>
    <t>Letra maiuscola</t>
  </si>
  <si>
    <t>Ma</t>
  </si>
  <si>
    <t>Formato Mês referência</t>
  </si>
  <si>
    <t>ddd</t>
  </si>
  <si>
    <t>Nome professor</t>
  </si>
  <si>
    <t>Ajuste Visuais</t>
  </si>
  <si>
    <t>Rodrigo</t>
  </si>
  <si>
    <t>Configurações das planilhas</t>
  </si>
  <si>
    <t>Mêses: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</si>
</sst>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&quot;R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20" fontId="0" fillId="0" borderId="0" xfId="0" applyNumberFormat="1"/>
    <xf numFmtId="12" fontId="0" fillId="0" borderId="0" xfId="0" applyNumberFormat="1"/>
    <xf numFmtId="2" fontId="0" fillId="0" borderId="0" xfId="0" applyNumberFormat="1"/>
    <xf numFmtId="167" fontId="1" fillId="2" borderId="0" xfId="0" applyNumberFormat="1" applyFont="1" applyFill="1"/>
    <xf numFmtId="0" fontId="1" fillId="2" borderId="0" xfId="0" applyFont="1" applyFill="1"/>
    <xf numFmtId="2" fontId="1" fillId="2" borderId="0" xfId="0" applyNumberFormat="1" applyFont="1" applyFill="1"/>
    <xf numFmtId="0" fontId="1" fillId="3" borderId="0" xfId="0" applyFont="1" applyFill="1"/>
    <xf numFmtId="0" fontId="1" fillId="3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/>
    </xf>
    <xf numFmtId="0" fontId="1" fillId="3" borderId="0" xfId="0" applyFont="1" applyFill="1" applyAlignment="1">
      <alignment horizontal="right" vertical="center"/>
    </xf>
    <xf numFmtId="0" fontId="0" fillId="0" borderId="0" xfId="0" applyAlignment="1">
      <alignment horizontal="right"/>
    </xf>
    <xf numFmtId="0" fontId="1" fillId="3" borderId="0" xfId="0" applyFont="1" applyFill="1" applyAlignment="1">
      <alignment horizontal="right"/>
    </xf>
    <xf numFmtId="167" fontId="0" fillId="0" borderId="0" xfId="0" applyNumberFormat="1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N23"/>
  <sheetViews>
    <sheetView workbookViewId="0">
      <selection activeCell="B4" sqref="B4"/>
    </sheetView>
  </sheetViews>
  <sheetFormatPr defaultRowHeight="15" x14ac:dyDescent="0.25"/>
  <cols>
    <col min="1" max="1" width="22.140625" customWidth="1"/>
    <col min="2" max="2" width="25.42578125" style="13" customWidth="1"/>
  </cols>
  <sheetData>
    <row r="1" spans="1:2" s="8" customFormat="1" ht="21" customHeight="1" x14ac:dyDescent="0.25">
      <c r="A1" s="8" t="s">
        <v>16</v>
      </c>
      <c r="B1" s="12"/>
    </row>
    <row r="2" spans="1:2" s="9" customFormat="1" x14ac:dyDescent="0.25">
      <c r="A2" s="9" t="s">
        <v>5</v>
      </c>
      <c r="B2" s="11">
        <v>2024</v>
      </c>
    </row>
    <row r="3" spans="1:2" s="9" customFormat="1" x14ac:dyDescent="0.25">
      <c r="A3" s="9" t="s">
        <v>6</v>
      </c>
      <c r="B3" s="15">
        <v>50</v>
      </c>
    </row>
    <row r="4" spans="1:2" s="9" customFormat="1" x14ac:dyDescent="0.25">
      <c r="A4" s="9" t="s">
        <v>13</v>
      </c>
      <c r="B4" s="9" t="s">
        <v>15</v>
      </c>
    </row>
    <row r="5" spans="1:2" s="9" customFormat="1" x14ac:dyDescent="0.25"/>
    <row r="6" spans="1:2" s="9" customFormat="1" x14ac:dyDescent="0.25"/>
    <row r="7" spans="1:2" s="9" customFormat="1" x14ac:dyDescent="0.25"/>
    <row r="8" spans="1:2" s="9" customFormat="1" x14ac:dyDescent="0.25"/>
    <row r="9" spans="1:2" s="9" customFormat="1" x14ac:dyDescent="0.25"/>
    <row r="10" spans="1:2" s="9" customFormat="1" x14ac:dyDescent="0.25"/>
    <row r="11" spans="1:2" s="9" customFormat="1" x14ac:dyDescent="0.25"/>
    <row r="19" spans="1:14" s="7" customFormat="1" x14ac:dyDescent="0.25">
      <c r="A19" s="7" t="s">
        <v>14</v>
      </c>
      <c r="B19" s="14"/>
    </row>
    <row r="20" spans="1:14" x14ac:dyDescent="0.25">
      <c r="A20" s="10" t="s">
        <v>7</v>
      </c>
      <c r="B20" s="11" t="s">
        <v>12</v>
      </c>
    </row>
    <row r="21" spans="1:14" x14ac:dyDescent="0.25">
      <c r="A21" s="9" t="s">
        <v>11</v>
      </c>
      <c r="B21" s="13" t="s">
        <v>8</v>
      </c>
    </row>
    <row r="22" spans="1:14" x14ac:dyDescent="0.25">
      <c r="A22" t="s">
        <v>9</v>
      </c>
      <c r="B22" s="13" t="s">
        <v>10</v>
      </c>
    </row>
    <row r="23" spans="1:14" x14ac:dyDescent="0.25">
      <c r="A23" s="9" t="s">
        <v>17</v>
      </c>
      <c r="B23" s="11">
        <v>1</v>
      </c>
      <c r="C23" s="11">
        <v>2</v>
      </c>
      <c r="D23" s="11">
        <v>3</v>
      </c>
      <c r="E23" s="11">
        <v>4</v>
      </c>
      <c r="F23" s="11">
        <v>5</v>
      </c>
      <c r="G23" s="11">
        <v>6</v>
      </c>
      <c r="H23" s="11">
        <v>7</v>
      </c>
      <c r="I23" s="11">
        <v>8</v>
      </c>
      <c r="J23" s="11">
        <v>9</v>
      </c>
      <c r="K23" s="11">
        <v>10</v>
      </c>
      <c r="L23" s="11">
        <v>11</v>
      </c>
      <c r="M23" s="11">
        <v>12</v>
      </c>
      <c r="N23" s="9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33"/>
  <sheetViews>
    <sheetView tabSelected="1" topLeftCell="A13" workbookViewId="0">
      <selection activeCell="E9" sqref="E9"/>
    </sheetView>
  </sheetViews>
  <sheetFormatPr defaultRowHeight="15" x14ac:dyDescent="0.25"/>
  <cols>
    <col min="2" max="2" width="18.42578125" customWidth="1"/>
    <col min="3" max="3" width="7.5703125" customWidth="1"/>
    <col min="4" max="4" width="9.42578125" customWidth="1"/>
  </cols>
  <sheetData>
    <row r="1" spans="1:4" x14ac:dyDescent="0.25">
      <c r="B1" s="2">
        <f>Configuracão!B2</f>
        <v>2024</v>
      </c>
      <c r="C1">
        <f>Configuracão!B23</f>
        <v>1</v>
      </c>
      <c r="D1" t="str">
        <f>UPPER(TEXT(C1,Configuracão!B21))</f>
        <v>JANEIRO</v>
      </c>
    </row>
    <row r="2" spans="1:4" x14ac:dyDescent="0.25">
      <c r="B2" s="2"/>
    </row>
    <row r="3" spans="1:4" x14ac:dyDescent="0.25">
      <c r="A3">
        <v>1</v>
      </c>
      <c r="B3" t="str">
        <f>IF(WEEKDAY( A3&amp;"/"&amp;C$1&amp;"/"&amp;B$1)=1,"",IF(WEEKDAY( A3&amp;"/"&amp;C$1&amp;"/"&amp;B$1)=7,"",UPPER( TEXT( WEEKDAY( A3&amp;"/"&amp;C$1&amp;"/"&amp;B$1),"ddd"))))</f>
        <v>SEG</v>
      </c>
      <c r="C3" t="str">
        <f>diaDaSemana(A3&amp;"/"&amp;Configuracão!B$23&amp;"/"&amp;B$1,Configuracão!B$20,Configuracão!B$22,"17","-")</f>
        <v>SEG</v>
      </c>
    </row>
    <row r="4" spans="1:4" x14ac:dyDescent="0.25">
      <c r="A4">
        <v>2</v>
      </c>
      <c r="B4" t="str">
        <f t="shared" ref="B4:B32" si="0">IF(WEEKDAY( A4&amp;"/"&amp;C$1&amp;"/"&amp;B$1)=1,"",IF(WEEKDAY( A4&amp;"/"&amp;C$1&amp;"/"&amp;B$1)=7,"",UPPER( TEXT( WEEKDAY( A4&amp;"/"&amp;C$1&amp;"/"&amp;B$1),"ddd"))))</f>
        <v>TER</v>
      </c>
      <c r="C4" t="str">
        <f>diaDaSemana(A4&amp;"/"&amp;Configuracão!B$23&amp;"/"&amp;B$1,Configuracão!B$20,Configuracão!B$22,"17","-")</f>
        <v>TER</v>
      </c>
    </row>
    <row r="5" spans="1:4" x14ac:dyDescent="0.25">
      <c r="A5">
        <v>3</v>
      </c>
      <c r="B5" t="str">
        <f t="shared" si="0"/>
        <v>QUA</v>
      </c>
      <c r="C5" t="str">
        <f>diaDaSemana(A5&amp;"/"&amp;Configuracão!B$23&amp;"/"&amp;B$1,Configuracão!B$20,Configuracão!B$22,"17","-")</f>
        <v>QUA</v>
      </c>
    </row>
    <row r="6" spans="1:4" x14ac:dyDescent="0.25">
      <c r="A6">
        <v>4</v>
      </c>
      <c r="B6" t="str">
        <f>IF(WEEKDAY( A6&amp;"/"&amp;C$1&amp;"/"&amp;B$1)=1,"",IF(WEEKDAY( A6&amp;"/"&amp;C$1&amp;"/"&amp;B$1)=7,"",UPPER( TEXT( WEEKDAY( A6&amp;"/"&amp;C$1&amp;"/"&amp;B$1),"ddd"))))</f>
        <v>QUI</v>
      </c>
      <c r="C6" t="str">
        <f>diaDaSemana(A6&amp;"/"&amp;Configuracão!B$23&amp;"/"&amp;B$1,Configuracão!B$20,Configuracão!B$22,"17","-")</f>
        <v>QUI</v>
      </c>
    </row>
    <row r="7" spans="1:4" x14ac:dyDescent="0.25">
      <c r="A7">
        <v>5</v>
      </c>
      <c r="B7" t="str">
        <f t="shared" si="0"/>
        <v>SEX</v>
      </c>
      <c r="C7" t="str">
        <f>diaDaSemana(A7&amp;"/"&amp;Configuracão!B$23&amp;"/"&amp;B$1,Configuracão!B$20,Configuracão!B$22,"17","-")</f>
        <v>SEX</v>
      </c>
    </row>
    <row r="8" spans="1:4" x14ac:dyDescent="0.25">
      <c r="A8">
        <v>6</v>
      </c>
      <c r="B8" t="str">
        <f t="shared" si="0"/>
        <v/>
      </c>
      <c r="C8" t="str">
        <f>diaDaSemana(A8&amp;"/"&amp;Configuracão!B$23&amp;"/"&amp;B$1,Configuracão!B$20,Configuracão!B$22,"17","-")</f>
        <v>-</v>
      </c>
    </row>
    <row r="9" spans="1:4" x14ac:dyDescent="0.25">
      <c r="A9">
        <v>7</v>
      </c>
      <c r="B9" t="str">
        <f t="shared" si="0"/>
        <v/>
      </c>
      <c r="C9" t="str">
        <f>diaDaSemana(A9&amp;"/"&amp;Configuracão!B$23&amp;"/"&amp;B$1,Configuracão!B$20,Configuracão!B$22,"17","-")</f>
        <v>-</v>
      </c>
    </row>
    <row r="10" spans="1:4" x14ac:dyDescent="0.25">
      <c r="A10">
        <v>8</v>
      </c>
      <c r="B10" t="str">
        <f t="shared" si="0"/>
        <v>SEG</v>
      </c>
      <c r="C10" t="str">
        <f>diaDaSemana(A10&amp;"/"&amp;Configuracão!B$23&amp;"/"&amp;B$1,Configuracão!B$20,Configuracão!B$22,"17","-")</f>
        <v>SEG</v>
      </c>
    </row>
    <row r="11" spans="1:4" x14ac:dyDescent="0.25">
      <c r="A11">
        <v>9</v>
      </c>
      <c r="B11" t="str">
        <f t="shared" si="0"/>
        <v>TER</v>
      </c>
      <c r="C11" t="str">
        <f>diaDaSemana(A11&amp;"/"&amp;Configuracão!B$23&amp;"/"&amp;B$1,Configuracão!B$20,Configuracão!B$22,"17","-")</f>
        <v>TER</v>
      </c>
    </row>
    <row r="12" spans="1:4" x14ac:dyDescent="0.25">
      <c r="A12">
        <v>10</v>
      </c>
      <c r="B12" t="str">
        <f t="shared" si="0"/>
        <v>QUA</v>
      </c>
      <c r="C12" t="str">
        <f>diaDaSemana(A12&amp;"/"&amp;Configuracão!B$23&amp;"/"&amp;B$1,Configuracão!B$20,Configuracão!B$22,"17","-")</f>
        <v>QUA</v>
      </c>
    </row>
    <row r="13" spans="1:4" x14ac:dyDescent="0.25">
      <c r="A13">
        <v>11</v>
      </c>
      <c r="B13" t="str">
        <f t="shared" si="0"/>
        <v>QUI</v>
      </c>
      <c r="C13" t="str">
        <f>diaDaSemana(A13&amp;"/"&amp;Configuracão!B$23&amp;"/"&amp;B$1,Configuracão!B$20,Configuracão!B$22,"17","-")</f>
        <v>QUI</v>
      </c>
    </row>
    <row r="14" spans="1:4" x14ac:dyDescent="0.25">
      <c r="A14">
        <v>12</v>
      </c>
      <c r="B14" t="str">
        <f t="shared" si="0"/>
        <v>SEX</v>
      </c>
      <c r="C14" t="str">
        <f>diaDaSemana(A14&amp;"/"&amp;Configuracão!B$23&amp;"/"&amp;B$1,Configuracão!B$20,Configuracão!B$22,"17","-")</f>
        <v>SEX</v>
      </c>
    </row>
    <row r="15" spans="1:4" x14ac:dyDescent="0.25">
      <c r="A15">
        <v>13</v>
      </c>
      <c r="B15" t="str">
        <f t="shared" si="0"/>
        <v/>
      </c>
      <c r="C15" t="str">
        <f>diaDaSemana(A15&amp;"/"&amp;Configuracão!B$23&amp;"/"&amp;B$1,Configuracão!B$20,Configuracão!B$22,"17","-")</f>
        <v>-</v>
      </c>
    </row>
    <row r="16" spans="1:4" x14ac:dyDescent="0.25">
      <c r="A16">
        <v>14</v>
      </c>
      <c r="B16" t="str">
        <f t="shared" si="0"/>
        <v/>
      </c>
      <c r="C16" t="str">
        <f>diaDaSemana(A16&amp;"/"&amp;Configuracão!B$23&amp;"/"&amp;B$1,Configuracão!B$20,Configuracão!B$22,"17","-")</f>
        <v>-</v>
      </c>
    </row>
    <row r="17" spans="1:3" x14ac:dyDescent="0.25">
      <c r="A17">
        <v>15</v>
      </c>
      <c r="B17" t="str">
        <f t="shared" si="0"/>
        <v>SEG</v>
      </c>
      <c r="C17" t="str">
        <f>diaDaSemana(A17&amp;"/"&amp;Configuracão!B$23&amp;"/"&amp;B$1,Configuracão!B$20,Configuracão!B$22,"17","-")</f>
        <v>SEG</v>
      </c>
    </row>
    <row r="18" spans="1:3" x14ac:dyDescent="0.25">
      <c r="A18">
        <v>16</v>
      </c>
      <c r="B18" t="str">
        <f t="shared" si="0"/>
        <v>TER</v>
      </c>
      <c r="C18" t="str">
        <f>diaDaSemana(A18&amp;"/"&amp;Configuracão!B$23&amp;"/"&amp;B$1,Configuracão!B$20,Configuracão!B$22,"17","-")</f>
        <v>TER</v>
      </c>
    </row>
    <row r="19" spans="1:3" x14ac:dyDescent="0.25">
      <c r="A19">
        <v>17</v>
      </c>
      <c r="B19" t="str">
        <f t="shared" si="0"/>
        <v>QUA</v>
      </c>
      <c r="C19" t="str">
        <f>diaDaSemana(A19&amp;"/"&amp;Configuracão!B$23&amp;"/"&amp;B$1,Configuracão!B$20,Configuracão!B$22,"17","-")</f>
        <v>QUA</v>
      </c>
    </row>
    <row r="20" spans="1:3" x14ac:dyDescent="0.25">
      <c r="A20">
        <v>18</v>
      </c>
      <c r="B20" t="str">
        <f t="shared" si="0"/>
        <v>QUI</v>
      </c>
      <c r="C20" t="str">
        <f>diaDaSemana(A20&amp;"/"&amp;Configuracão!B$23&amp;"/"&amp;B$1,Configuracão!B$20,Configuracão!B$22,"17","-")</f>
        <v>QUI</v>
      </c>
    </row>
    <row r="21" spans="1:3" x14ac:dyDescent="0.25">
      <c r="A21">
        <v>19</v>
      </c>
      <c r="B21" t="str">
        <f t="shared" si="0"/>
        <v>SEX</v>
      </c>
      <c r="C21" t="str">
        <f>diaDaSemana(A21&amp;"/"&amp;Configuracão!B$23&amp;"/"&amp;B$1,Configuracão!B$20,Configuracão!B$22,"17","-")</f>
        <v>SEX</v>
      </c>
    </row>
    <row r="22" spans="1:3" x14ac:dyDescent="0.25">
      <c r="A22">
        <v>20</v>
      </c>
      <c r="B22" t="str">
        <f t="shared" si="0"/>
        <v/>
      </c>
      <c r="C22" t="str">
        <f>diaDaSemana(A22&amp;"/"&amp;Configuracão!B$23&amp;"/"&amp;B$1,Configuracão!B$20,Configuracão!B$22,"17","-")</f>
        <v>-</v>
      </c>
    </row>
    <row r="23" spans="1:3" x14ac:dyDescent="0.25">
      <c r="A23">
        <v>21</v>
      </c>
      <c r="B23" t="str">
        <f t="shared" si="0"/>
        <v/>
      </c>
      <c r="C23" t="str">
        <f>diaDaSemana(A23&amp;"/"&amp;Configuracão!B$23&amp;"/"&amp;B$1,Configuracão!B$20,Configuracão!B$22,"17","-")</f>
        <v>-</v>
      </c>
    </row>
    <row r="24" spans="1:3" x14ac:dyDescent="0.25">
      <c r="A24">
        <v>22</v>
      </c>
      <c r="B24" t="str">
        <f t="shared" si="0"/>
        <v>SEG</v>
      </c>
      <c r="C24" t="str">
        <f>diaDaSemana(A24&amp;"/"&amp;Configuracão!B$23&amp;"/"&amp;B$1,Configuracão!B$20,Configuracão!B$22,"17","-")</f>
        <v>SEG</v>
      </c>
    </row>
    <row r="25" spans="1:3" x14ac:dyDescent="0.25">
      <c r="A25">
        <v>23</v>
      </c>
      <c r="B25" t="str">
        <f t="shared" si="0"/>
        <v>TER</v>
      </c>
      <c r="C25" t="str">
        <f>diaDaSemana(A25&amp;"/"&amp;Configuracão!B$23&amp;"/"&amp;B$1,Configuracão!B$20,Configuracão!B$22,"17","-")</f>
        <v>TER</v>
      </c>
    </row>
    <row r="26" spans="1:3" x14ac:dyDescent="0.25">
      <c r="A26">
        <v>24</v>
      </c>
      <c r="B26" t="str">
        <f t="shared" si="0"/>
        <v>QUA</v>
      </c>
      <c r="C26" t="str">
        <f>diaDaSemana(A26&amp;"/"&amp;Configuracão!B$23&amp;"/"&amp;B$1,Configuracão!B$20,Configuracão!B$22,"17","-")</f>
        <v>QUA</v>
      </c>
    </row>
    <row r="27" spans="1:3" x14ac:dyDescent="0.25">
      <c r="A27">
        <v>25</v>
      </c>
      <c r="B27" t="str">
        <f t="shared" si="0"/>
        <v>QUI</v>
      </c>
      <c r="C27" t="str">
        <f>diaDaSemana(A27&amp;"/"&amp;Configuracão!B$23&amp;"/"&amp;B$1,Configuracão!B$20,Configuracão!B$22,"17","-")</f>
        <v>QUI</v>
      </c>
    </row>
    <row r="28" spans="1:3" x14ac:dyDescent="0.25">
      <c r="A28">
        <v>26</v>
      </c>
      <c r="B28" t="str">
        <f t="shared" si="0"/>
        <v>SEX</v>
      </c>
      <c r="C28" t="str">
        <f>diaDaSemana(A28&amp;"/"&amp;Configuracão!B$23&amp;"/"&amp;B$1,Configuracão!B$20,Configuracão!B$22,"17","-")</f>
        <v>SEX</v>
      </c>
    </row>
    <row r="29" spans="1:3" x14ac:dyDescent="0.25">
      <c r="A29">
        <v>27</v>
      </c>
      <c r="B29" t="str">
        <f t="shared" si="0"/>
        <v/>
      </c>
      <c r="C29" t="str">
        <f>diaDaSemana(A29&amp;"/"&amp;Configuracão!B$23&amp;"/"&amp;B$1,Configuracão!B$20,Configuracão!B$22,"17","-")</f>
        <v>-</v>
      </c>
    </row>
    <row r="30" spans="1:3" x14ac:dyDescent="0.25">
      <c r="A30">
        <v>28</v>
      </c>
      <c r="B30" t="str">
        <f t="shared" si="0"/>
        <v/>
      </c>
      <c r="C30" t="str">
        <f>diaDaSemana(A30&amp;"/"&amp;Configuracão!B$23&amp;"/"&amp;B$1,Configuracão!B$20,Configuracão!B$22,"17","-")</f>
        <v>-</v>
      </c>
    </row>
    <row r="31" spans="1:3" x14ac:dyDescent="0.25">
      <c r="A31">
        <v>29</v>
      </c>
      <c r="B31" t="str">
        <f t="shared" si="0"/>
        <v>SEG</v>
      </c>
      <c r="C31" t="str">
        <f>diaDaSemana(A31&amp;"/"&amp;Configuracão!B$23&amp;"/"&amp;B$1,Configuracão!B$20,Configuracão!B$22,"17","-")</f>
        <v>SEG</v>
      </c>
    </row>
    <row r="32" spans="1:3" x14ac:dyDescent="0.25">
      <c r="A32">
        <v>30</v>
      </c>
      <c r="B32" t="str">
        <f t="shared" si="0"/>
        <v>TER</v>
      </c>
      <c r="C32" t="str">
        <f>diaDaSemana(A32&amp;"/"&amp;Configuracão!B$23&amp;"/"&amp;B$1,Configuracão!B$20,Configuracão!B$22,"17","-")</f>
        <v>TER</v>
      </c>
    </row>
    <row r="33" spans="1:1" x14ac:dyDescent="0.25">
      <c r="A33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>
      <selection activeCell="I17" sqref="I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"/>
  <sheetViews>
    <sheetView workbookViewId="0">
      <selection activeCell="F1" sqref="F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"/>
  <sheetViews>
    <sheetView workbookViewId="0">
      <selection activeCell="H23" sqref="H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"/>
  <sheetViews>
    <sheetView workbookViewId="0">
      <selection activeCell="H17" sqref="H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"/>
  <sheetViews>
    <sheetView workbookViewId="0">
      <selection activeCell="H16" sqref="H1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"/>
  <sheetViews>
    <sheetView workbookViewId="0">
      <selection activeCell="B13" sqref="B1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"/>
  <sheetViews>
    <sheetView workbookViewId="0">
      <selection activeCell="J17" sqref="J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6"/>
  <sheetViews>
    <sheetView workbookViewId="0">
      <selection activeCell="B2" sqref="B2"/>
    </sheetView>
  </sheetViews>
  <sheetFormatPr defaultRowHeight="15" x14ac:dyDescent="0.25"/>
  <cols>
    <col min="1" max="1" width="21.140625" bestFit="1" customWidth="1"/>
    <col min="2" max="2" width="23.28515625" customWidth="1"/>
  </cols>
  <sheetData>
    <row r="1" spans="1:2" x14ac:dyDescent="0.25">
      <c r="A1" t="s">
        <v>0</v>
      </c>
      <c r="B1">
        <v>50</v>
      </c>
    </row>
    <row r="2" spans="1:2" x14ac:dyDescent="0.25">
      <c r="A2" s="1" t="s">
        <v>3</v>
      </c>
      <c r="B2">
        <v>60</v>
      </c>
    </row>
    <row r="3" spans="1:2" x14ac:dyDescent="0.25">
      <c r="A3" t="s">
        <v>4</v>
      </c>
      <c r="B3">
        <v>100</v>
      </c>
    </row>
    <row r="4" spans="1:2" x14ac:dyDescent="0.25">
      <c r="B4" s="3"/>
    </row>
    <row r="5" spans="1:2" x14ac:dyDescent="0.25">
      <c r="A5" s="5" t="s">
        <v>1</v>
      </c>
      <c r="B5" s="6">
        <f>getHoraDecimal(B3,B1)</f>
        <v>2</v>
      </c>
    </row>
    <row r="6" spans="1:2" x14ac:dyDescent="0.25">
      <c r="A6" s="5" t="s">
        <v>2</v>
      </c>
      <c r="B6" s="4">
        <f>getCalaculaValorHora(B3,B2,B1)</f>
        <v>120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Configuracão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Horas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neimarmoises</dc:creator>
  <cp:lastModifiedBy>neimarmoises</cp:lastModifiedBy>
  <dcterms:created xsi:type="dcterms:W3CDTF">2023-04-29T10:36:57Z</dcterms:created>
  <dcterms:modified xsi:type="dcterms:W3CDTF">2023-04-29T15:35:38Z</dcterms:modified>
</cp:coreProperties>
</file>