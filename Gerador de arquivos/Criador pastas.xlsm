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EstaPasta_de_trabalho" defaultThemeVersion="124226"/>
  <bookViews>
    <workbookView xWindow="240" yWindow="60" windowWidth="20115" windowHeight="8010"/>
  </bookViews>
  <sheets>
    <sheet name="Criador pastas" sheetId="1" r:id="rId1"/>
    <sheet name="Configurações" sheetId="3" r:id="rId2"/>
  </sheets>
  <functionGroups builtInGroupCount="17"/>
  <definedNames>
    <definedName name="_xlnm._FilterDatabase" localSheetId="1" hidden="1">Configurações!$C$1:$H$28</definedName>
  </definedNames>
  <calcPr calcId="144525"/>
</workbook>
</file>

<file path=xl/calcChain.xml><?xml version="1.0" encoding="utf-8"?>
<calcChain xmlns="http://schemas.openxmlformats.org/spreadsheetml/2006/main">
  <c r="C5" i="3" l="1"/>
  <c r="C15" i="3"/>
  <c r="C10" i="3"/>
  <c r="F5" i="3"/>
  <c r="F2" i="3"/>
  <c r="F4" i="3"/>
  <c r="F3" i="3"/>
  <c r="F26" i="3"/>
  <c r="C9" i="3"/>
  <c r="F10" i="3"/>
  <c r="F6" i="3"/>
  <c r="F9" i="3"/>
  <c r="F8" i="3"/>
  <c r="F7" i="3"/>
  <c r="C2" i="3" l="1"/>
  <c r="C3" i="3"/>
  <c r="C4" i="3"/>
  <c r="F16" i="3"/>
  <c r="F14" i="3"/>
  <c r="F24" i="3"/>
  <c r="F15" i="3"/>
  <c r="F13" i="3"/>
  <c r="F11" i="3"/>
  <c r="F17" i="3"/>
  <c r="F25" i="3"/>
  <c r="F12" i="3"/>
  <c r="F18" i="3"/>
  <c r="F27" i="3"/>
  <c r="F19" i="3"/>
  <c r="F20" i="3"/>
  <c r="F23" i="3"/>
  <c r="F21" i="3"/>
  <c r="F22" i="3"/>
  <c r="C23" i="3" l="1"/>
  <c r="C24" i="3"/>
  <c r="C25" i="3"/>
  <c r="C26" i="3"/>
  <c r="C27" i="3"/>
  <c r="C22" i="3"/>
  <c r="C17" i="3"/>
  <c r="C18" i="3"/>
  <c r="C19" i="3"/>
  <c r="C20" i="3"/>
  <c r="C21" i="3"/>
  <c r="C16" i="3"/>
  <c r="C11" i="3" l="1"/>
  <c r="C12" i="3"/>
  <c r="C13" i="3"/>
  <c r="C14" i="3"/>
  <c r="C6" i="3"/>
  <c r="C7" i="3"/>
  <c r="C8" i="3"/>
</calcChain>
</file>

<file path=xl/comments1.xml><?xml version="1.0" encoding="utf-8"?>
<comments xmlns="http://schemas.openxmlformats.org/spreadsheetml/2006/main">
  <authors>
    <author>neimarmoises</author>
  </authors>
  <commentList>
    <comment ref="F1" authorId="0">
      <text>
        <r>
          <rPr>
            <sz val="9"/>
            <color indexed="81"/>
            <rFont val="Tahoma"/>
            <family val="2"/>
          </rPr>
          <t xml:space="preserve">Quando definido como "SIM" o arquivo copiado e renomeado, na pasta principal ou na subPasta.
Obs. Para que essa configuração funcione na aba conguraçãoes na coluna "Arquivos para cópia" deve conter apenas um aquivo como modelo, para evitar conflitos de nomes na pasta onde os arquivos estão sendo criados.  </t>
        </r>
      </text>
    </comment>
    <comment ref="F2" authorId="0">
      <text>
        <r>
          <rPr>
            <sz val="9"/>
            <color indexed="81"/>
            <rFont val="Tahoma"/>
            <family val="2"/>
          </rPr>
          <t xml:space="preserve">Quando definido como "SIM" gera apenas arquivo dentro da pasta principal, nesse caso e nescessário que seja definido como "SIM" a opção renomerar de arquivos finais. 
Obs. Com a renomeação definida como "SIM" os arquivos serão renomeados com os dados da coluno "B". 
</t>
        </r>
      </text>
    </comment>
    <comment ref="B3" authorId="0">
      <text>
        <r>
          <rPr>
            <b/>
            <sz val="9"/>
            <color indexed="81"/>
            <rFont val="Tahoma"/>
            <family val="2"/>
          </rPr>
          <t>Defina o local de geração das pastas</t>
        </r>
      </text>
    </comment>
    <comment ref="F3" authorId="0">
      <text>
        <r>
          <rPr>
            <sz val="9"/>
            <color indexed="81"/>
            <rFont val="Tahoma"/>
            <family val="2"/>
          </rPr>
          <t xml:space="preserve">Defina o tipo de geração da seguinte forma neste campo:
Gerar arquivos e pastas?: Sim
ou
Gerar somente pastas?: Não  (Serão geradas apenas pastas sem arquivos)
</t>
        </r>
      </text>
    </comment>
  </commentList>
</comments>
</file>

<file path=xl/comments2.xml><?xml version="1.0" encoding="utf-8"?>
<comments xmlns="http://schemas.openxmlformats.org/spreadsheetml/2006/main">
  <authors>
    <author>neimarmoises</author>
  </authors>
  <commentList>
    <comment ref="A1" authorId="0">
      <text>
        <r>
          <rPr>
            <sz val="9"/>
            <color indexed="81"/>
            <rFont val="Tahoma"/>
            <family val="2"/>
          </rPr>
          <t xml:space="preserve">Lista de nome dos arquivos que serão criados nas sub pastas.
</t>
        </r>
      </text>
    </comment>
    <comment ref="C1" authorId="0">
      <text>
        <r>
          <rPr>
            <sz val="9"/>
            <color indexed="81"/>
            <rFont val="Tahoma"/>
            <family val="2"/>
          </rPr>
          <t xml:space="preserve">
Nomes dos arquivo correspondente ao campo que será preenchido dentro do arquivo.</t>
        </r>
      </text>
    </comment>
    <comment ref="E1" authorId="0">
      <text>
        <r>
          <rPr>
            <b/>
            <sz val="9"/>
            <color indexed="81"/>
            <rFont val="Tahoma"/>
            <family val="2"/>
          </rPr>
          <t>Os campos devem ser criados na ordem sequencial de acordo com a primeira linha de texto do documento word.</t>
        </r>
      </text>
    </comment>
    <comment ref="F1" authorId="0">
      <text>
        <r>
          <rPr>
            <b/>
            <sz val="9"/>
            <color indexed="81"/>
            <rFont val="Tahoma"/>
            <family val="2"/>
          </rPr>
          <t>Conteúdo dinâmico para preenchimento do arquivo word.</t>
        </r>
        <r>
          <rPr>
            <sz val="9"/>
            <color indexed="81"/>
            <rFont val="Tahoma"/>
            <family val="2"/>
          </rPr>
          <t xml:space="preserve">
</t>
        </r>
      </text>
    </comment>
    <comment ref="H1" authorId="0">
      <text>
        <r>
          <rPr>
            <sz val="9"/>
            <color indexed="81"/>
            <rFont val="Tahoma"/>
            <family val="2"/>
          </rPr>
          <t xml:space="preserve">
Índice de navegação do dados de preencimento dos arquivos.</t>
        </r>
      </text>
    </comment>
  </commentList>
</comments>
</file>

<file path=xl/sharedStrings.xml><?xml version="1.0" encoding="utf-8"?>
<sst xmlns="http://schemas.openxmlformats.org/spreadsheetml/2006/main" count="81" uniqueCount="53">
  <si>
    <t>Criador de pastas</t>
  </si>
  <si>
    <t>Caminho</t>
  </si>
  <si>
    <t>TURNO</t>
  </si>
  <si>
    <t>DIA SEMANA</t>
  </si>
  <si>
    <t>CBO 1</t>
  </si>
  <si>
    <t>CBO 2</t>
  </si>
  <si>
    <t>CBO 3</t>
  </si>
  <si>
    <t>Manhã</t>
  </si>
  <si>
    <t>EMPRESA</t>
  </si>
  <si>
    <t>Arquivos para cópia</t>
  </si>
  <si>
    <t>Campos</t>
  </si>
  <si>
    <t>Conteúdo</t>
  </si>
  <si>
    <t>#aluno</t>
  </si>
  <si>
    <t>#turma</t>
  </si>
  <si>
    <t>#empresa</t>
  </si>
  <si>
    <t>#cbo1</t>
  </si>
  <si>
    <t>#cbo2</t>
  </si>
  <si>
    <t>#cbo3</t>
  </si>
  <si>
    <t>SEQ</t>
  </si>
  <si>
    <t>Navegação:</t>
  </si>
  <si>
    <t>Sim</t>
  </si>
  <si>
    <t>segunda</t>
  </si>
  <si>
    <t>3171-10</t>
  </si>
  <si>
    <t>Não</t>
  </si>
  <si>
    <t>3171-11</t>
  </si>
  <si>
    <t>3171-12</t>
  </si>
  <si>
    <t>4110-12</t>
  </si>
  <si>
    <t>Recebimento de ducumento1</t>
  </si>
  <si>
    <t>Formulário.docx</t>
  </si>
  <si>
    <t>Gerar arquivos e SubPastas?:</t>
  </si>
  <si>
    <t>Gerar arquivos somente na pastas Pai?:</t>
  </si>
  <si>
    <t>Nome (Pasta ou arquivo filho)</t>
  </si>
  <si>
    <t>Nome (Pasta pai)</t>
  </si>
  <si>
    <t>Recebimento de ducumento3</t>
  </si>
  <si>
    <t>Recebimento de ducumento2</t>
  </si>
  <si>
    <t>Renomear arquivos finais?:</t>
  </si>
  <si>
    <t>Lojas colombo1</t>
  </si>
  <si>
    <t>Lojas colombo2</t>
  </si>
  <si>
    <t>Lojas colombo3</t>
  </si>
  <si>
    <t>Identificação.docx</t>
  </si>
  <si>
    <t>Concluído(s) 0 de 0</t>
  </si>
  <si>
    <t>Terça</t>
  </si>
  <si>
    <t>Noite</t>
  </si>
  <si>
    <t>C:\Users\neimarmoises\Documents\GitHub\Excel\Gerador de arquivos</t>
  </si>
  <si>
    <t>PCD</t>
  </si>
  <si>
    <t>-</t>
  </si>
  <si>
    <t>Academico</t>
  </si>
  <si>
    <t xml:space="preserve">Concluído -&gt; Identificação.docx -&gt; campo(s) -&gt; #cbo3; #cbo2; #cbo1; #empresa; #turma; #aluno; </t>
  </si>
  <si>
    <t>Concluído(s) 3 de 3</t>
  </si>
  <si>
    <t>3172-13</t>
  </si>
  <si>
    <t>#pcd</t>
  </si>
  <si>
    <t>#data</t>
  </si>
  <si>
    <t>DATA</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</si>
</sst>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1"/>
      <color rgb="FFFF0000"/>
      <name val="Calibri"/>
      <family val="2"/>
      <scheme val="minor"/>
    </font>
    <font>
      <b/>
      <sz val="11"/>
      <color rgb="FF3F3F3F"/>
      <name val="Calibri"/>
      <family val="2"/>
      <scheme val="minor"/>
    </font>
    <font>
      <sz val="11"/>
      <name val="Calibri"/>
      <family val="2"/>
      <scheme val="minor"/>
    </font>
    <font>
      <b/>
      <sz val="11"/>
      <name val="Calibri"/>
      <family val="2"/>
      <scheme val="minor"/>
    </font>
    <font>
      <b/>
      <sz val="12"/>
      <color rgb="FF000000"/>
      <name val="Calibri"/>
      <family val="2"/>
    </font>
    <font>
      <b/>
      <sz val="11"/>
      <color rgb="FFFA7D00"/>
      <name val="Calibri"/>
      <family val="2"/>
      <scheme val="minor"/>
    </font>
    <font>
      <b/>
      <sz val="9"/>
      <color theme="1"/>
      <name val="Calibri"/>
      <family val="2"/>
      <scheme val="minor"/>
    </font>
    <font>
      <b/>
      <sz val="9"/>
      <color rgb="FF3F3F3F"/>
      <name val="Calibri"/>
      <family val="2"/>
      <scheme val="minor"/>
    </font>
    <font>
      <b/>
      <sz val="9"/>
      <name val="Calibri"/>
      <family val="2"/>
      <scheme val="minor"/>
    </font>
    <font>
      <b/>
      <sz val="11"/>
      <color rgb="FF000000"/>
      <name val="Calibri"/>
      <family val="2"/>
      <scheme val="minor"/>
    </font>
    <font>
      <b/>
      <sz val="16"/>
      <color rgb="FF7030A0"/>
      <name val="Arial Black"/>
      <family val="2"/>
    </font>
    <font>
      <b/>
      <sz val="20"/>
      <color theme="1"/>
      <name val="Calibri"/>
      <family val="2"/>
      <scheme val="minor"/>
    </font>
    <font>
      <b/>
      <sz val="11"/>
      <color theme="6" tint="-0.249977111117893"/>
      <name val="Calibri"/>
      <family val="2"/>
      <scheme val="minor"/>
    </font>
    <font>
      <sz val="9"/>
      <color indexed="81"/>
      <name val="Tahoma"/>
      <family val="2"/>
    </font>
    <font>
      <b/>
      <sz val="9"/>
      <color indexed="81"/>
      <name val="Tahoma"/>
      <family val="2"/>
    </font>
    <font>
      <sz val="10"/>
      <color indexed="8"/>
      <name val="Arial"/>
      <family val="2"/>
    </font>
    <font>
      <sz val="11"/>
      <color theme="6" tint="-0.249977111117893"/>
      <name val="Calibri"/>
      <family val="2"/>
      <scheme val="minor"/>
    </font>
  </fonts>
  <fills count="11">
    <fill>
      <patternFill patternType="none"/>
    </fill>
    <fill>
      <patternFill patternType="gray125"/>
    </fill>
    <fill>
      <patternFill patternType="solid">
        <fgColor theme="9" tint="0.59999389629810485"/>
        <bgColor indexed="64"/>
      </patternFill>
    </fill>
    <fill>
      <patternFill patternType="solid">
        <fgColor rgb="FF92D050"/>
        <bgColor indexed="64"/>
      </patternFill>
    </fill>
    <fill>
      <patternFill patternType="solid">
        <fgColor rgb="FFF2F2F2"/>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0" tint="-0.249977111117893"/>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rgb="FF3F3F3F"/>
      </bottom>
      <diagonal/>
    </border>
    <border>
      <left style="thin">
        <color rgb="FF3F3F3F"/>
      </left>
      <right style="thin">
        <color rgb="FF3F3F3F"/>
      </right>
      <top/>
      <bottom/>
      <diagonal/>
    </border>
  </borders>
  <cellStyleXfs count="5">
    <xf numFmtId="0" fontId="0" fillId="0" borderId="0"/>
    <xf numFmtId="0" fontId="3" fillId="4" borderId="2" applyNumberFormat="0" applyAlignment="0" applyProtection="0"/>
    <xf numFmtId="0" fontId="7" fillId="4" borderId="1" applyNumberFormat="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32">
    <xf numFmtId="0" fontId="0" fillId="0" borderId="0" xfId="0"/>
    <xf numFmtId="0" fontId="1" fillId="2" borderId="0" xfId="0" applyFont="1" applyFill="1" applyAlignment="1">
      <alignment vertical="center"/>
    </xf>
    <xf numFmtId="0" fontId="2" fillId="2" borderId="0" xfId="0" applyFont="1" applyFill="1" applyAlignment="1">
      <alignment vertical="center"/>
    </xf>
    <xf numFmtId="0" fontId="2" fillId="0" borderId="0" xfId="0" applyFont="1" applyFill="1" applyAlignment="1">
      <alignment vertical="center"/>
    </xf>
    <xf numFmtId="0" fontId="4" fillId="6" borderId="2" xfId="1" applyFont="1" applyFill="1" applyAlignment="1">
      <alignment horizontal="center" vertical="center"/>
    </xf>
    <xf numFmtId="0" fontId="8" fillId="3" borderId="0" xfId="0" applyFont="1" applyFill="1" applyAlignment="1">
      <alignment horizontal="left" vertical="center"/>
    </xf>
    <xf numFmtId="0" fontId="9" fillId="5" borderId="2" xfId="1" applyFont="1" applyFill="1" applyAlignment="1">
      <alignment horizontal="center" vertical="center"/>
    </xf>
    <xf numFmtId="0" fontId="10" fillId="5" borderId="1" xfId="2" applyFont="1" applyFill="1" applyBorder="1" applyAlignment="1">
      <alignment horizontal="center" vertical="center"/>
    </xf>
    <xf numFmtId="0" fontId="9" fillId="5" borderId="2" xfId="1" applyFont="1" applyFill="1" applyAlignment="1">
      <alignment horizontal="left" vertical="center"/>
    </xf>
    <xf numFmtId="0" fontId="9" fillId="5" borderId="2" xfId="1" applyFont="1" applyFill="1" applyAlignment="1">
      <alignment horizontal="left" vertical="center" wrapText="1"/>
    </xf>
    <xf numFmtId="0" fontId="5" fillId="6" borderId="2" xfId="1" applyFont="1" applyFill="1" applyAlignment="1" applyProtection="1">
      <alignment horizontal="left" vertical="top"/>
      <protection locked="0"/>
    </xf>
    <xf numFmtId="0" fontId="5" fillId="6" borderId="2" xfId="1" applyFont="1" applyFill="1" applyAlignment="1">
      <alignment horizontal="left" vertical="top"/>
    </xf>
    <xf numFmtId="0" fontId="13" fillId="2" borderId="0" xfId="0" applyFont="1" applyFill="1" applyAlignment="1">
      <alignment vertical="center"/>
    </xf>
    <xf numFmtId="0" fontId="1" fillId="0" borderId="0" xfId="0" applyFont="1"/>
    <xf numFmtId="0" fontId="11" fillId="0" borderId="0" xfId="0" applyFont="1"/>
    <xf numFmtId="0" fontId="0" fillId="8" borderId="0" xfId="0" applyFill="1"/>
    <xf numFmtId="0" fontId="0" fillId="10" borderId="0" xfId="0" applyFill="1"/>
    <xf numFmtId="0" fontId="0" fillId="6" borderId="0" xfId="0" applyFill="1"/>
    <xf numFmtId="0" fontId="2" fillId="9" borderId="0" xfId="0" applyFont="1" applyFill="1" applyAlignment="1">
      <alignment vertical="center"/>
    </xf>
    <xf numFmtId="0" fontId="2" fillId="2" borderId="0" xfId="0" applyFont="1" applyFill="1" applyAlignment="1">
      <alignment horizontal="right" vertical="center"/>
    </xf>
    <xf numFmtId="0" fontId="1" fillId="6" borderId="0" xfId="0" applyFont="1" applyFill="1" applyAlignment="1">
      <alignment vertical="center"/>
    </xf>
    <xf numFmtId="0" fontId="5" fillId="6" borderId="2" xfId="1" applyFont="1" applyFill="1"/>
    <xf numFmtId="0" fontId="12" fillId="3" borderId="0" xfId="0" applyFont="1" applyFill="1" applyAlignment="1">
      <alignment vertical="center" shrinkToFit="1"/>
    </xf>
    <xf numFmtId="0" fontId="14" fillId="3" borderId="0" xfId="0" applyFont="1" applyFill="1" applyAlignment="1">
      <alignment vertical="center" shrinkToFit="1"/>
    </xf>
    <xf numFmtId="0" fontId="18" fillId="3" borderId="0" xfId="0" applyFont="1" applyFill="1" applyAlignment="1">
      <alignment vertical="center" shrinkToFit="1"/>
    </xf>
    <xf numFmtId="0" fontId="1" fillId="7" borderId="3" xfId="0" applyFont="1" applyFill="1" applyBorder="1" applyAlignment="1">
      <alignment horizontal="left" vertical="center"/>
    </xf>
    <xf numFmtId="0" fontId="1" fillId="7" borderId="0" xfId="0" applyFont="1" applyFill="1" applyBorder="1" applyAlignment="1">
      <alignment horizontal="left" vertical="center"/>
    </xf>
    <xf numFmtId="0" fontId="9" fillId="5" borderId="2" xfId="1" applyFont="1" applyFill="1" applyAlignment="1">
      <alignment horizontal="center" vertical="center" wrapText="1"/>
    </xf>
    <xf numFmtId="0" fontId="1" fillId="2" borderId="0" xfId="0" applyFont="1" applyFill="1" applyAlignment="1">
      <alignment horizontal="center" vertical="center"/>
    </xf>
    <xf numFmtId="0" fontId="5" fillId="6" borderId="4" xfId="1" applyFont="1" applyFill="1" applyBorder="1" applyAlignment="1">
      <alignment horizontal="center" vertical="top"/>
    </xf>
    <xf numFmtId="0" fontId="0" fillId="0" borderId="0" xfId="0" applyAlignment="1">
      <alignment horizontal="center"/>
    </xf>
    <xf numFmtId="16" fontId="5" fillId="6" borderId="4" xfId="1" applyNumberFormat="1" applyFont="1" applyFill="1" applyBorder="1" applyAlignment="1">
      <alignment horizontal="center" vertical="top"/>
    </xf>
  </cellXfs>
  <cellStyles count="5">
    <cellStyle name="Cálculo" xfId="2" builtinId="22"/>
    <cellStyle name="Normal" xfId="0" builtinId="0"/>
    <cellStyle name="Normal 10" xfId="3"/>
    <cellStyle name="Normal 11" xfId="4"/>
    <cellStyle name="Saída"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1895475</xdr:colOff>
          <xdr:row>0</xdr:row>
          <xdr:rowOff>19050</xdr:rowOff>
        </xdr:from>
        <xdr:to>
          <xdr:col>2</xdr:col>
          <xdr:colOff>0</xdr:colOff>
          <xdr:row>2</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200" b="1" i="0" u="none" strike="noStrike" baseline="0">
                  <a:solidFill>
                    <a:srgbClr val="000000"/>
                  </a:solidFill>
                  <a:latin typeface="Calibri"/>
                </a:rPr>
                <a:t>Criar arquivo</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J1010"/>
  <sheetViews>
    <sheetView tabSelected="1" workbookViewId="0">
      <pane ySplit="4" topLeftCell="A5" activePane="bottomLeft" state="frozen"/>
      <selection pane="bottomLeft" activeCell="B14" sqref="B14"/>
    </sheetView>
  </sheetViews>
  <sheetFormatPr defaultRowHeight="15" x14ac:dyDescent="0.25"/>
  <cols>
    <col min="1" max="1" width="13.5703125" style="16" customWidth="1"/>
    <col min="2" max="2" width="46.85546875" customWidth="1"/>
    <col min="3" max="3" width="40.42578125" customWidth="1"/>
    <col min="4" max="4" width="10.42578125" customWidth="1"/>
    <col min="5" max="5" width="24.140625" customWidth="1"/>
    <col min="6" max="6" width="17.5703125" bestFit="1" customWidth="1"/>
    <col min="7" max="7" width="7" bestFit="1" customWidth="1"/>
    <col min="8" max="8" width="11" bestFit="1" customWidth="1"/>
    <col min="9" max="9" width="9.140625" style="30"/>
  </cols>
  <sheetData>
    <row r="1" spans="1:10" s="1" customFormat="1" ht="32.25" customHeight="1" x14ac:dyDescent="0.25">
      <c r="A1" s="12" t="s">
        <v>0</v>
      </c>
      <c r="C1" s="22" t="s">
        <v>48</v>
      </c>
      <c r="D1" s="26" t="s">
        <v>35</v>
      </c>
      <c r="E1" s="26"/>
      <c r="F1" s="20" t="s">
        <v>23</v>
      </c>
      <c r="I1" s="28"/>
    </row>
    <row r="2" spans="1:10" s="1" customFormat="1" ht="15" customHeight="1" x14ac:dyDescent="0.25">
      <c r="C2" s="24" t="s">
        <v>47</v>
      </c>
      <c r="D2" s="26" t="s">
        <v>30</v>
      </c>
      <c r="E2" s="26"/>
      <c r="F2" s="20" t="s">
        <v>23</v>
      </c>
      <c r="I2" s="28"/>
    </row>
    <row r="3" spans="1:10" s="1" customFormat="1" ht="21.75" customHeight="1" x14ac:dyDescent="0.25">
      <c r="A3" s="2" t="s">
        <v>1</v>
      </c>
      <c r="B3" s="3" t="s">
        <v>43</v>
      </c>
      <c r="C3" s="23" t="s">
        <v>33</v>
      </c>
      <c r="D3" s="25" t="s">
        <v>29</v>
      </c>
      <c r="E3" s="25"/>
      <c r="F3" s="20" t="s">
        <v>20</v>
      </c>
      <c r="I3" s="28"/>
    </row>
    <row r="4" spans="1:10" s="5" customFormat="1" ht="14.25" customHeight="1" x14ac:dyDescent="0.25">
      <c r="A4" s="5" t="s">
        <v>32</v>
      </c>
      <c r="B4" s="6" t="s">
        <v>31</v>
      </c>
      <c r="C4" s="7" t="s">
        <v>8</v>
      </c>
      <c r="D4" s="8" t="s">
        <v>4</v>
      </c>
      <c r="E4" s="8" t="s">
        <v>5</v>
      </c>
      <c r="F4" s="8" t="s">
        <v>6</v>
      </c>
      <c r="G4" s="8" t="s">
        <v>2</v>
      </c>
      <c r="H4" s="9" t="s">
        <v>3</v>
      </c>
      <c r="I4" s="27" t="s">
        <v>44</v>
      </c>
      <c r="J4" s="27" t="s">
        <v>52</v>
      </c>
    </row>
    <row r="5" spans="1:10" x14ac:dyDescent="0.25">
      <c r="A5" s="17" t="s">
        <v>46</v>
      </c>
      <c r="B5" s="10" t="s">
        <v>27</v>
      </c>
      <c r="C5" s="21" t="s">
        <v>36</v>
      </c>
      <c r="D5" s="11" t="s">
        <v>22</v>
      </c>
      <c r="E5" s="11" t="s">
        <v>24</v>
      </c>
      <c r="F5" s="11" t="s">
        <v>25</v>
      </c>
      <c r="G5" s="4" t="s">
        <v>7</v>
      </c>
      <c r="H5" s="4" t="s">
        <v>21</v>
      </c>
      <c r="I5" s="29" t="s">
        <v>20</v>
      </c>
      <c r="J5" s="31">
        <v>44571</v>
      </c>
    </row>
    <row r="6" spans="1:10" x14ac:dyDescent="0.25">
      <c r="B6" s="10" t="s">
        <v>34</v>
      </c>
      <c r="C6" s="21" t="s">
        <v>37</v>
      </c>
      <c r="D6" s="11" t="s">
        <v>24</v>
      </c>
      <c r="E6" s="11" t="s">
        <v>26</v>
      </c>
      <c r="F6" s="11" t="s">
        <v>49</v>
      </c>
      <c r="G6" s="4" t="s">
        <v>7</v>
      </c>
      <c r="H6" s="4" t="s">
        <v>21</v>
      </c>
      <c r="I6" s="29" t="s">
        <v>23</v>
      </c>
      <c r="J6" s="31">
        <v>44839</v>
      </c>
    </row>
    <row r="7" spans="1:10" x14ac:dyDescent="0.25">
      <c r="B7" s="10" t="s">
        <v>33</v>
      </c>
      <c r="C7" s="21" t="s">
        <v>38</v>
      </c>
      <c r="D7" s="11" t="s">
        <v>25</v>
      </c>
      <c r="E7" s="11" t="s">
        <v>24</v>
      </c>
      <c r="F7" s="11" t="s">
        <v>25</v>
      </c>
      <c r="G7" s="4" t="s">
        <v>42</v>
      </c>
      <c r="H7" s="4" t="s">
        <v>41</v>
      </c>
      <c r="I7" s="29" t="s">
        <v>45</v>
      </c>
    </row>
    <row r="8" spans="1:10" x14ac:dyDescent="0.25">
      <c r="I8"/>
    </row>
    <row r="9" spans="1:10" x14ac:dyDescent="0.25">
      <c r="I9"/>
    </row>
    <row r="10" spans="1:10" x14ac:dyDescent="0.25">
      <c r="I10"/>
    </row>
    <row r="11" spans="1:10" x14ac:dyDescent="0.25">
      <c r="I11"/>
    </row>
    <row r="12" spans="1:10" x14ac:dyDescent="0.25">
      <c r="I12"/>
    </row>
    <row r="13" spans="1:10" x14ac:dyDescent="0.25">
      <c r="I13"/>
    </row>
    <row r="14" spans="1:10" x14ac:dyDescent="0.25">
      <c r="I14"/>
    </row>
    <row r="15" spans="1:10" x14ac:dyDescent="0.25">
      <c r="I15"/>
    </row>
    <row r="16" spans="1:10" x14ac:dyDescent="0.25">
      <c r="I16"/>
    </row>
    <row r="17" spans="9:9" x14ac:dyDescent="0.25">
      <c r="I17"/>
    </row>
    <row r="18" spans="9:9" x14ac:dyDescent="0.25">
      <c r="I18"/>
    </row>
    <row r="19" spans="9:9" x14ac:dyDescent="0.25">
      <c r="I19"/>
    </row>
    <row r="20" spans="9:9" x14ac:dyDescent="0.25">
      <c r="I20"/>
    </row>
    <row r="21" spans="9:9" x14ac:dyDescent="0.25">
      <c r="I21"/>
    </row>
    <row r="22" spans="9:9" x14ac:dyDescent="0.25">
      <c r="I22"/>
    </row>
    <row r="23" spans="9:9" x14ac:dyDescent="0.25">
      <c r="I23"/>
    </row>
    <row r="24" spans="9:9" x14ac:dyDescent="0.25">
      <c r="I24"/>
    </row>
    <row r="25" spans="9:9" x14ac:dyDescent="0.25">
      <c r="I25"/>
    </row>
    <row r="26" spans="9:9" x14ac:dyDescent="0.25">
      <c r="I26"/>
    </row>
    <row r="27" spans="9:9" x14ac:dyDescent="0.25">
      <c r="I27"/>
    </row>
    <row r="28" spans="9:9" x14ac:dyDescent="0.25">
      <c r="I28"/>
    </row>
    <row r="29" spans="9:9" x14ac:dyDescent="0.25">
      <c r="I29"/>
    </row>
    <row r="30" spans="9:9" x14ac:dyDescent="0.25">
      <c r="I30"/>
    </row>
    <row r="31" spans="9:9" x14ac:dyDescent="0.25">
      <c r="I31"/>
    </row>
    <row r="32" spans="9:9" x14ac:dyDescent="0.25">
      <c r="I32"/>
    </row>
    <row r="33" spans="9:9" x14ac:dyDescent="0.25">
      <c r="I33"/>
    </row>
    <row r="34" spans="9:9" x14ac:dyDescent="0.25">
      <c r="I34"/>
    </row>
    <row r="35" spans="9:9" x14ac:dyDescent="0.25">
      <c r="I35"/>
    </row>
    <row r="36" spans="9:9" x14ac:dyDescent="0.25">
      <c r="I36"/>
    </row>
    <row r="37" spans="9:9" x14ac:dyDescent="0.25">
      <c r="I37"/>
    </row>
    <row r="38" spans="9:9" x14ac:dyDescent="0.25">
      <c r="I38"/>
    </row>
    <row r="39" spans="9:9" x14ac:dyDescent="0.25">
      <c r="I39"/>
    </row>
    <row r="40" spans="9:9" x14ac:dyDescent="0.25">
      <c r="I40"/>
    </row>
    <row r="41" spans="9:9" x14ac:dyDescent="0.25">
      <c r="I41"/>
    </row>
    <row r="42" spans="9:9" x14ac:dyDescent="0.25">
      <c r="I42"/>
    </row>
    <row r="43" spans="9:9" x14ac:dyDescent="0.25">
      <c r="I43"/>
    </row>
    <row r="44" spans="9:9" x14ac:dyDescent="0.25">
      <c r="I44"/>
    </row>
    <row r="45" spans="9:9" x14ac:dyDescent="0.25">
      <c r="I45"/>
    </row>
    <row r="46" spans="9:9" x14ac:dyDescent="0.25">
      <c r="I46"/>
    </row>
    <row r="47" spans="9:9" x14ac:dyDescent="0.25">
      <c r="I47"/>
    </row>
    <row r="48" spans="9:9" x14ac:dyDescent="0.25">
      <c r="I48"/>
    </row>
    <row r="49" spans="9:9" x14ac:dyDescent="0.25">
      <c r="I49"/>
    </row>
    <row r="50" spans="9:9" x14ac:dyDescent="0.25">
      <c r="I50"/>
    </row>
    <row r="51" spans="9:9" x14ac:dyDescent="0.25">
      <c r="I51"/>
    </row>
    <row r="52" spans="9:9" x14ac:dyDescent="0.25">
      <c r="I52"/>
    </row>
    <row r="53" spans="9:9" x14ac:dyDescent="0.25">
      <c r="I53"/>
    </row>
    <row r="54" spans="9:9" x14ac:dyDescent="0.25">
      <c r="I54"/>
    </row>
    <row r="55" spans="9:9" x14ac:dyDescent="0.25">
      <c r="I55"/>
    </row>
    <row r="56" spans="9:9" x14ac:dyDescent="0.25">
      <c r="I56"/>
    </row>
    <row r="57" spans="9:9" x14ac:dyDescent="0.25">
      <c r="I57"/>
    </row>
    <row r="58" spans="9:9" x14ac:dyDescent="0.25">
      <c r="I58"/>
    </row>
    <row r="59" spans="9:9" x14ac:dyDescent="0.25">
      <c r="I59"/>
    </row>
    <row r="60" spans="9:9" x14ac:dyDescent="0.25">
      <c r="I60"/>
    </row>
    <row r="61" spans="9:9" x14ac:dyDescent="0.25">
      <c r="I61"/>
    </row>
    <row r="62" spans="9:9" x14ac:dyDescent="0.25">
      <c r="I62"/>
    </row>
    <row r="63" spans="9:9" x14ac:dyDescent="0.25">
      <c r="I63"/>
    </row>
    <row r="64" spans="9:9" x14ac:dyDescent="0.25">
      <c r="I64"/>
    </row>
    <row r="65" spans="9:9" x14ac:dyDescent="0.25">
      <c r="I65"/>
    </row>
    <row r="66" spans="9:9" x14ac:dyDescent="0.25">
      <c r="I66"/>
    </row>
    <row r="67" spans="9:9" x14ac:dyDescent="0.25">
      <c r="I67"/>
    </row>
    <row r="68" spans="9:9" x14ac:dyDescent="0.25">
      <c r="I68"/>
    </row>
    <row r="69" spans="9:9" x14ac:dyDescent="0.25">
      <c r="I69"/>
    </row>
    <row r="70" spans="9:9" x14ac:dyDescent="0.25">
      <c r="I70"/>
    </row>
    <row r="71" spans="9:9" x14ac:dyDescent="0.25">
      <c r="I71"/>
    </row>
    <row r="72" spans="9:9" x14ac:dyDescent="0.25">
      <c r="I72"/>
    </row>
    <row r="73" spans="9:9" x14ac:dyDescent="0.25">
      <c r="I73"/>
    </row>
    <row r="74" spans="9:9" x14ac:dyDescent="0.25">
      <c r="I74"/>
    </row>
    <row r="75" spans="9:9" x14ac:dyDescent="0.25">
      <c r="I75"/>
    </row>
    <row r="76" spans="9:9" x14ac:dyDescent="0.25">
      <c r="I76"/>
    </row>
    <row r="77" spans="9:9" x14ac:dyDescent="0.25">
      <c r="I77"/>
    </row>
    <row r="78" spans="9:9" x14ac:dyDescent="0.25">
      <c r="I78"/>
    </row>
    <row r="79" spans="9:9" x14ac:dyDescent="0.25">
      <c r="I79"/>
    </row>
    <row r="80" spans="9:9" x14ac:dyDescent="0.25">
      <c r="I80"/>
    </row>
    <row r="81" spans="9:9" x14ac:dyDescent="0.25">
      <c r="I81"/>
    </row>
    <row r="82" spans="9:9" x14ac:dyDescent="0.25">
      <c r="I82"/>
    </row>
    <row r="83" spans="9:9" x14ac:dyDescent="0.25">
      <c r="I83"/>
    </row>
    <row r="84" spans="9:9" x14ac:dyDescent="0.25">
      <c r="I84"/>
    </row>
    <row r="85" spans="9:9" x14ac:dyDescent="0.25">
      <c r="I85"/>
    </row>
    <row r="86" spans="9:9" x14ac:dyDescent="0.25">
      <c r="I86"/>
    </row>
    <row r="87" spans="9:9" x14ac:dyDescent="0.25">
      <c r="I87"/>
    </row>
    <row r="88" spans="9:9" x14ac:dyDescent="0.25">
      <c r="I88"/>
    </row>
    <row r="89" spans="9:9" x14ac:dyDescent="0.25">
      <c r="I89"/>
    </row>
    <row r="90" spans="9:9" x14ac:dyDescent="0.25">
      <c r="I90"/>
    </row>
    <row r="91" spans="9:9" x14ac:dyDescent="0.25">
      <c r="I91"/>
    </row>
    <row r="92" spans="9:9" x14ac:dyDescent="0.25">
      <c r="I92"/>
    </row>
    <row r="93" spans="9:9" x14ac:dyDescent="0.25">
      <c r="I93"/>
    </row>
    <row r="94" spans="9:9" x14ac:dyDescent="0.25">
      <c r="I94"/>
    </row>
    <row r="95" spans="9:9" x14ac:dyDescent="0.25">
      <c r="I95"/>
    </row>
    <row r="96" spans="9:9" x14ac:dyDescent="0.25">
      <c r="I96"/>
    </row>
    <row r="97" spans="9:9" x14ac:dyDescent="0.25">
      <c r="I97"/>
    </row>
    <row r="98" spans="9:9" x14ac:dyDescent="0.25">
      <c r="I98"/>
    </row>
    <row r="99" spans="9:9" x14ac:dyDescent="0.25">
      <c r="I99"/>
    </row>
    <row r="100" spans="9:9" x14ac:dyDescent="0.25">
      <c r="I100"/>
    </row>
    <row r="101" spans="9:9" x14ac:dyDescent="0.25">
      <c r="I101"/>
    </row>
    <row r="102" spans="9:9" x14ac:dyDescent="0.25">
      <c r="I102"/>
    </row>
    <row r="103" spans="9:9" x14ac:dyDescent="0.25">
      <c r="I103"/>
    </row>
    <row r="104" spans="9:9" x14ac:dyDescent="0.25">
      <c r="I104"/>
    </row>
    <row r="105" spans="9:9" x14ac:dyDescent="0.25">
      <c r="I105"/>
    </row>
    <row r="106" spans="9:9" x14ac:dyDescent="0.25">
      <c r="I106"/>
    </row>
    <row r="107" spans="9:9" x14ac:dyDescent="0.25">
      <c r="I107"/>
    </row>
    <row r="108" spans="9:9" x14ac:dyDescent="0.25">
      <c r="I108"/>
    </row>
    <row r="109" spans="9:9" x14ac:dyDescent="0.25">
      <c r="I109"/>
    </row>
    <row r="110" spans="9:9" x14ac:dyDescent="0.25">
      <c r="I110"/>
    </row>
    <row r="111" spans="9:9" x14ac:dyDescent="0.25">
      <c r="I111"/>
    </row>
    <row r="112" spans="9:9" x14ac:dyDescent="0.25">
      <c r="I112"/>
    </row>
    <row r="113" spans="9:9" x14ac:dyDescent="0.25">
      <c r="I113"/>
    </row>
    <row r="114" spans="9:9" x14ac:dyDescent="0.25">
      <c r="I114"/>
    </row>
    <row r="115" spans="9:9" x14ac:dyDescent="0.25">
      <c r="I115"/>
    </row>
    <row r="116" spans="9:9" x14ac:dyDescent="0.25">
      <c r="I116"/>
    </row>
    <row r="117" spans="9:9" x14ac:dyDescent="0.25">
      <c r="I117"/>
    </row>
    <row r="118" spans="9:9" x14ac:dyDescent="0.25">
      <c r="I118"/>
    </row>
    <row r="119" spans="9:9" x14ac:dyDescent="0.25">
      <c r="I119"/>
    </row>
    <row r="120" spans="9:9" x14ac:dyDescent="0.25">
      <c r="I120"/>
    </row>
    <row r="121" spans="9:9" x14ac:dyDescent="0.25">
      <c r="I121"/>
    </row>
    <row r="122" spans="9:9" x14ac:dyDescent="0.25">
      <c r="I122"/>
    </row>
    <row r="123" spans="9:9" x14ac:dyDescent="0.25">
      <c r="I123"/>
    </row>
    <row r="124" spans="9:9" x14ac:dyDescent="0.25">
      <c r="I124"/>
    </row>
    <row r="125" spans="9:9" x14ac:dyDescent="0.25">
      <c r="I125"/>
    </row>
    <row r="126" spans="9:9" x14ac:dyDescent="0.25">
      <c r="I126"/>
    </row>
    <row r="127" spans="9:9" x14ac:dyDescent="0.25">
      <c r="I127"/>
    </row>
    <row r="128" spans="9:9" x14ac:dyDescent="0.25">
      <c r="I128"/>
    </row>
    <row r="129" spans="9:9" x14ac:dyDescent="0.25">
      <c r="I129"/>
    </row>
    <row r="130" spans="9:9" x14ac:dyDescent="0.25">
      <c r="I130"/>
    </row>
    <row r="131" spans="9:9" x14ac:dyDescent="0.25">
      <c r="I131"/>
    </row>
    <row r="132" spans="9:9" x14ac:dyDescent="0.25">
      <c r="I132"/>
    </row>
    <row r="133" spans="9:9" x14ac:dyDescent="0.25">
      <c r="I133"/>
    </row>
    <row r="134" spans="9:9" x14ac:dyDescent="0.25">
      <c r="I134"/>
    </row>
    <row r="135" spans="9:9" x14ac:dyDescent="0.25">
      <c r="I135"/>
    </row>
    <row r="136" spans="9:9" x14ac:dyDescent="0.25">
      <c r="I136"/>
    </row>
    <row r="137" spans="9:9" x14ac:dyDescent="0.25">
      <c r="I137"/>
    </row>
    <row r="138" spans="9:9" x14ac:dyDescent="0.25">
      <c r="I138"/>
    </row>
    <row r="139" spans="9:9" x14ac:dyDescent="0.25">
      <c r="I139"/>
    </row>
    <row r="140" spans="9:9" x14ac:dyDescent="0.25">
      <c r="I140"/>
    </row>
    <row r="141" spans="9:9" x14ac:dyDescent="0.25">
      <c r="I141"/>
    </row>
    <row r="142" spans="9:9" x14ac:dyDescent="0.25">
      <c r="I142"/>
    </row>
    <row r="143" spans="9:9" x14ac:dyDescent="0.25">
      <c r="I143"/>
    </row>
    <row r="144" spans="9:9" x14ac:dyDescent="0.25">
      <c r="I144"/>
    </row>
    <row r="145" spans="9:9" x14ac:dyDescent="0.25">
      <c r="I145"/>
    </row>
    <row r="146" spans="9:9" x14ac:dyDescent="0.25">
      <c r="I146"/>
    </row>
    <row r="147" spans="9:9" x14ac:dyDescent="0.25">
      <c r="I147"/>
    </row>
    <row r="148" spans="9:9" x14ac:dyDescent="0.25">
      <c r="I148"/>
    </row>
    <row r="149" spans="9:9" x14ac:dyDescent="0.25">
      <c r="I149"/>
    </row>
    <row r="150" spans="9:9" x14ac:dyDescent="0.25">
      <c r="I150"/>
    </row>
    <row r="151" spans="9:9" x14ac:dyDescent="0.25">
      <c r="I151"/>
    </row>
    <row r="152" spans="9:9" x14ac:dyDescent="0.25">
      <c r="I152"/>
    </row>
    <row r="153" spans="9:9" x14ac:dyDescent="0.25">
      <c r="I153"/>
    </row>
    <row r="154" spans="9:9" x14ac:dyDescent="0.25">
      <c r="I154"/>
    </row>
    <row r="155" spans="9:9" x14ac:dyDescent="0.25">
      <c r="I155"/>
    </row>
    <row r="156" spans="9:9" x14ac:dyDescent="0.25">
      <c r="I156"/>
    </row>
    <row r="157" spans="9:9" x14ac:dyDescent="0.25">
      <c r="I157"/>
    </row>
    <row r="158" spans="9:9" x14ac:dyDescent="0.25">
      <c r="I158"/>
    </row>
    <row r="159" spans="9:9" x14ac:dyDescent="0.25">
      <c r="I159"/>
    </row>
    <row r="160" spans="9:9" x14ac:dyDescent="0.25">
      <c r="I160"/>
    </row>
    <row r="161" spans="9:9" x14ac:dyDescent="0.25">
      <c r="I161"/>
    </row>
    <row r="162" spans="9:9" x14ac:dyDescent="0.25">
      <c r="I162"/>
    </row>
    <row r="163" spans="9:9" x14ac:dyDescent="0.25">
      <c r="I163"/>
    </row>
    <row r="164" spans="9:9" x14ac:dyDescent="0.25">
      <c r="I164"/>
    </row>
    <row r="165" spans="9:9" x14ac:dyDescent="0.25">
      <c r="I165"/>
    </row>
    <row r="166" spans="9:9" x14ac:dyDescent="0.25">
      <c r="I166"/>
    </row>
    <row r="167" spans="9:9" x14ac:dyDescent="0.25">
      <c r="I167"/>
    </row>
    <row r="168" spans="9:9" x14ac:dyDescent="0.25">
      <c r="I168"/>
    </row>
    <row r="169" spans="9:9" x14ac:dyDescent="0.25">
      <c r="I169"/>
    </row>
    <row r="170" spans="9:9" x14ac:dyDescent="0.25">
      <c r="I170"/>
    </row>
    <row r="171" spans="9:9" x14ac:dyDescent="0.25">
      <c r="I171"/>
    </row>
    <row r="172" spans="9:9" x14ac:dyDescent="0.25">
      <c r="I172"/>
    </row>
    <row r="173" spans="9:9" x14ac:dyDescent="0.25">
      <c r="I173"/>
    </row>
    <row r="174" spans="9:9" x14ac:dyDescent="0.25">
      <c r="I174"/>
    </row>
    <row r="175" spans="9:9" x14ac:dyDescent="0.25">
      <c r="I175"/>
    </row>
    <row r="176" spans="9:9" x14ac:dyDescent="0.25">
      <c r="I176"/>
    </row>
    <row r="177" spans="9:9" x14ac:dyDescent="0.25">
      <c r="I177"/>
    </row>
    <row r="178" spans="9:9" x14ac:dyDescent="0.25">
      <c r="I178"/>
    </row>
    <row r="179" spans="9:9" x14ac:dyDescent="0.25">
      <c r="I179"/>
    </row>
    <row r="180" spans="9:9" x14ac:dyDescent="0.25">
      <c r="I180"/>
    </row>
    <row r="181" spans="9:9" x14ac:dyDescent="0.25">
      <c r="I181"/>
    </row>
    <row r="182" spans="9:9" x14ac:dyDescent="0.25">
      <c r="I182"/>
    </row>
    <row r="183" spans="9:9" x14ac:dyDescent="0.25">
      <c r="I183"/>
    </row>
    <row r="184" spans="9:9" x14ac:dyDescent="0.25">
      <c r="I184"/>
    </row>
    <row r="185" spans="9:9" x14ac:dyDescent="0.25">
      <c r="I185"/>
    </row>
    <row r="186" spans="9:9" x14ac:dyDescent="0.25">
      <c r="I186"/>
    </row>
    <row r="187" spans="9:9" x14ac:dyDescent="0.25">
      <c r="I187"/>
    </row>
    <row r="188" spans="9:9" x14ac:dyDescent="0.25">
      <c r="I188"/>
    </row>
    <row r="189" spans="9:9" x14ac:dyDescent="0.25">
      <c r="I189"/>
    </row>
    <row r="190" spans="9:9" x14ac:dyDescent="0.25">
      <c r="I190"/>
    </row>
    <row r="191" spans="9:9" x14ac:dyDescent="0.25">
      <c r="I191"/>
    </row>
    <row r="192" spans="9:9" x14ac:dyDescent="0.25">
      <c r="I192"/>
    </row>
    <row r="193" spans="9:9" x14ac:dyDescent="0.25">
      <c r="I193"/>
    </row>
    <row r="194" spans="9:9" x14ac:dyDescent="0.25">
      <c r="I194"/>
    </row>
    <row r="195" spans="9:9" x14ac:dyDescent="0.25">
      <c r="I195"/>
    </row>
    <row r="196" spans="9:9" x14ac:dyDescent="0.25">
      <c r="I196"/>
    </row>
    <row r="197" spans="9:9" x14ac:dyDescent="0.25">
      <c r="I197"/>
    </row>
    <row r="198" spans="9:9" x14ac:dyDescent="0.25">
      <c r="I198"/>
    </row>
    <row r="199" spans="9:9" x14ac:dyDescent="0.25">
      <c r="I199"/>
    </row>
    <row r="200" spans="9:9" x14ac:dyDescent="0.25">
      <c r="I200"/>
    </row>
    <row r="201" spans="9:9" x14ac:dyDescent="0.25">
      <c r="I201"/>
    </row>
    <row r="202" spans="9:9" x14ac:dyDescent="0.25">
      <c r="I202"/>
    </row>
    <row r="203" spans="9:9" x14ac:dyDescent="0.25">
      <c r="I203"/>
    </row>
    <row r="204" spans="9:9" x14ac:dyDescent="0.25">
      <c r="I204"/>
    </row>
    <row r="205" spans="9:9" x14ac:dyDescent="0.25">
      <c r="I205"/>
    </row>
    <row r="206" spans="9:9" x14ac:dyDescent="0.25">
      <c r="I206"/>
    </row>
    <row r="207" spans="9:9" x14ac:dyDescent="0.25">
      <c r="I207"/>
    </row>
    <row r="208" spans="9:9" x14ac:dyDescent="0.25">
      <c r="I208"/>
    </row>
    <row r="209" spans="9:9" x14ac:dyDescent="0.25">
      <c r="I209"/>
    </row>
    <row r="210" spans="9:9" x14ac:dyDescent="0.25">
      <c r="I210"/>
    </row>
    <row r="211" spans="9:9" x14ac:dyDescent="0.25">
      <c r="I211"/>
    </row>
    <row r="212" spans="9:9" x14ac:dyDescent="0.25">
      <c r="I212"/>
    </row>
    <row r="213" spans="9:9" x14ac:dyDescent="0.25">
      <c r="I213"/>
    </row>
    <row r="214" spans="9:9" x14ac:dyDescent="0.25">
      <c r="I214"/>
    </row>
    <row r="215" spans="9:9" x14ac:dyDescent="0.25">
      <c r="I215"/>
    </row>
    <row r="216" spans="9:9" x14ac:dyDescent="0.25">
      <c r="I216"/>
    </row>
    <row r="217" spans="9:9" x14ac:dyDescent="0.25">
      <c r="I217"/>
    </row>
    <row r="218" spans="9:9" x14ac:dyDescent="0.25">
      <c r="I218"/>
    </row>
    <row r="219" spans="9:9" x14ac:dyDescent="0.25">
      <c r="I219"/>
    </row>
    <row r="220" spans="9:9" x14ac:dyDescent="0.25">
      <c r="I220"/>
    </row>
    <row r="221" spans="9:9" x14ac:dyDescent="0.25">
      <c r="I221"/>
    </row>
    <row r="222" spans="9:9" x14ac:dyDescent="0.25">
      <c r="I222"/>
    </row>
    <row r="223" spans="9:9" x14ac:dyDescent="0.25">
      <c r="I223"/>
    </row>
    <row r="224" spans="9:9" x14ac:dyDescent="0.25">
      <c r="I224"/>
    </row>
    <row r="225" spans="9:9" x14ac:dyDescent="0.25">
      <c r="I225"/>
    </row>
    <row r="226" spans="9:9" x14ac:dyDescent="0.25">
      <c r="I226"/>
    </row>
    <row r="227" spans="9:9" x14ac:dyDescent="0.25">
      <c r="I227"/>
    </row>
    <row r="228" spans="9:9" x14ac:dyDescent="0.25">
      <c r="I228"/>
    </row>
    <row r="229" spans="9:9" x14ac:dyDescent="0.25">
      <c r="I229"/>
    </row>
    <row r="230" spans="9:9" x14ac:dyDescent="0.25">
      <c r="I230"/>
    </row>
    <row r="231" spans="9:9" x14ac:dyDescent="0.25">
      <c r="I231"/>
    </row>
    <row r="232" spans="9:9" x14ac:dyDescent="0.25">
      <c r="I232"/>
    </row>
    <row r="233" spans="9:9" x14ac:dyDescent="0.25">
      <c r="I233"/>
    </row>
    <row r="234" spans="9:9" x14ac:dyDescent="0.25">
      <c r="I234"/>
    </row>
    <row r="235" spans="9:9" x14ac:dyDescent="0.25">
      <c r="I235"/>
    </row>
    <row r="236" spans="9:9" x14ac:dyDescent="0.25">
      <c r="I236"/>
    </row>
    <row r="237" spans="9:9" x14ac:dyDescent="0.25">
      <c r="I237"/>
    </row>
    <row r="238" spans="9:9" x14ac:dyDescent="0.25">
      <c r="I238"/>
    </row>
    <row r="239" spans="9:9" x14ac:dyDescent="0.25">
      <c r="I239"/>
    </row>
    <row r="240" spans="9:9" x14ac:dyDescent="0.25">
      <c r="I240"/>
    </row>
    <row r="241" spans="9:9" x14ac:dyDescent="0.25">
      <c r="I241"/>
    </row>
    <row r="242" spans="9:9" x14ac:dyDescent="0.25">
      <c r="I242"/>
    </row>
    <row r="243" spans="9:9" x14ac:dyDescent="0.25">
      <c r="I243"/>
    </row>
    <row r="244" spans="9:9" x14ac:dyDescent="0.25">
      <c r="I244"/>
    </row>
    <row r="245" spans="9:9" x14ac:dyDescent="0.25">
      <c r="I245"/>
    </row>
    <row r="246" spans="9:9" x14ac:dyDescent="0.25">
      <c r="I246"/>
    </row>
    <row r="247" spans="9:9" x14ac:dyDescent="0.25">
      <c r="I247"/>
    </row>
    <row r="248" spans="9:9" x14ac:dyDescent="0.25">
      <c r="I248"/>
    </row>
    <row r="249" spans="9:9" x14ac:dyDescent="0.25">
      <c r="I249"/>
    </row>
    <row r="250" spans="9:9" x14ac:dyDescent="0.25">
      <c r="I250"/>
    </row>
    <row r="251" spans="9:9" x14ac:dyDescent="0.25">
      <c r="I251"/>
    </row>
    <row r="252" spans="9:9" x14ac:dyDescent="0.25">
      <c r="I252"/>
    </row>
    <row r="253" spans="9:9" x14ac:dyDescent="0.25">
      <c r="I253"/>
    </row>
    <row r="254" spans="9:9" x14ac:dyDescent="0.25">
      <c r="I254"/>
    </row>
    <row r="255" spans="9:9" x14ac:dyDescent="0.25">
      <c r="I255"/>
    </row>
    <row r="256" spans="9:9" x14ac:dyDescent="0.25">
      <c r="I256"/>
    </row>
    <row r="257" spans="9:9" x14ac:dyDescent="0.25">
      <c r="I257"/>
    </row>
    <row r="258" spans="9:9" x14ac:dyDescent="0.25">
      <c r="I258"/>
    </row>
    <row r="259" spans="9:9" x14ac:dyDescent="0.25">
      <c r="I259"/>
    </row>
    <row r="260" spans="9:9" x14ac:dyDescent="0.25">
      <c r="I260"/>
    </row>
    <row r="261" spans="9:9" x14ac:dyDescent="0.25">
      <c r="I261"/>
    </row>
    <row r="262" spans="9:9" x14ac:dyDescent="0.25">
      <c r="I262"/>
    </row>
    <row r="263" spans="9:9" x14ac:dyDescent="0.25">
      <c r="I263"/>
    </row>
    <row r="264" spans="9:9" x14ac:dyDescent="0.25">
      <c r="I264"/>
    </row>
    <row r="265" spans="9:9" x14ac:dyDescent="0.25">
      <c r="I265"/>
    </row>
    <row r="266" spans="9:9" x14ac:dyDescent="0.25">
      <c r="I266"/>
    </row>
    <row r="267" spans="9:9" x14ac:dyDescent="0.25">
      <c r="I267"/>
    </row>
    <row r="268" spans="9:9" x14ac:dyDescent="0.25">
      <c r="I268"/>
    </row>
    <row r="269" spans="9:9" x14ac:dyDescent="0.25">
      <c r="I269"/>
    </row>
    <row r="270" spans="9:9" x14ac:dyDescent="0.25">
      <c r="I270"/>
    </row>
    <row r="271" spans="9:9" x14ac:dyDescent="0.25">
      <c r="I271"/>
    </row>
    <row r="272" spans="9:9" x14ac:dyDescent="0.25">
      <c r="I272"/>
    </row>
    <row r="273" spans="9:9" x14ac:dyDescent="0.25">
      <c r="I273"/>
    </row>
    <row r="274" spans="9:9" x14ac:dyDescent="0.25">
      <c r="I274"/>
    </row>
    <row r="275" spans="9:9" x14ac:dyDescent="0.25">
      <c r="I275"/>
    </row>
    <row r="276" spans="9:9" x14ac:dyDescent="0.25">
      <c r="I276"/>
    </row>
    <row r="277" spans="9:9" x14ac:dyDescent="0.25">
      <c r="I277"/>
    </row>
    <row r="278" spans="9:9" x14ac:dyDescent="0.25">
      <c r="I278"/>
    </row>
    <row r="279" spans="9:9" x14ac:dyDescent="0.25">
      <c r="I279"/>
    </row>
    <row r="280" spans="9:9" x14ac:dyDescent="0.25">
      <c r="I280"/>
    </row>
    <row r="281" spans="9:9" x14ac:dyDescent="0.25">
      <c r="I281"/>
    </row>
    <row r="282" spans="9:9" x14ac:dyDescent="0.25">
      <c r="I282"/>
    </row>
    <row r="283" spans="9:9" x14ac:dyDescent="0.25">
      <c r="I283"/>
    </row>
    <row r="284" spans="9:9" x14ac:dyDescent="0.25">
      <c r="I284"/>
    </row>
    <row r="285" spans="9:9" x14ac:dyDescent="0.25">
      <c r="I285"/>
    </row>
    <row r="286" spans="9:9" x14ac:dyDescent="0.25">
      <c r="I286"/>
    </row>
    <row r="287" spans="9:9" x14ac:dyDescent="0.25">
      <c r="I287"/>
    </row>
    <row r="288" spans="9:9" x14ac:dyDescent="0.25">
      <c r="I288"/>
    </row>
    <row r="289" spans="9:9" x14ac:dyDescent="0.25">
      <c r="I289"/>
    </row>
    <row r="290" spans="9:9" x14ac:dyDescent="0.25">
      <c r="I290"/>
    </row>
    <row r="291" spans="9:9" x14ac:dyDescent="0.25">
      <c r="I291"/>
    </row>
    <row r="292" spans="9:9" x14ac:dyDescent="0.25">
      <c r="I292"/>
    </row>
    <row r="293" spans="9:9" x14ac:dyDescent="0.25">
      <c r="I293"/>
    </row>
    <row r="294" spans="9:9" x14ac:dyDescent="0.25">
      <c r="I294"/>
    </row>
    <row r="295" spans="9:9" x14ac:dyDescent="0.25">
      <c r="I295"/>
    </row>
    <row r="296" spans="9:9" x14ac:dyDescent="0.25">
      <c r="I296"/>
    </row>
    <row r="297" spans="9:9" x14ac:dyDescent="0.25">
      <c r="I297"/>
    </row>
    <row r="298" spans="9:9" x14ac:dyDescent="0.25">
      <c r="I298"/>
    </row>
    <row r="299" spans="9:9" x14ac:dyDescent="0.25">
      <c r="I299"/>
    </row>
    <row r="300" spans="9:9" x14ac:dyDescent="0.25">
      <c r="I300"/>
    </row>
    <row r="301" spans="9:9" x14ac:dyDescent="0.25">
      <c r="I301"/>
    </row>
    <row r="302" spans="9:9" x14ac:dyDescent="0.25">
      <c r="I302"/>
    </row>
    <row r="303" spans="9:9" x14ac:dyDescent="0.25">
      <c r="I303"/>
    </row>
    <row r="304" spans="9:9" x14ac:dyDescent="0.25">
      <c r="I304"/>
    </row>
    <row r="305" spans="9:9" x14ac:dyDescent="0.25">
      <c r="I305"/>
    </row>
    <row r="306" spans="9:9" x14ac:dyDescent="0.25">
      <c r="I306"/>
    </row>
    <row r="307" spans="9:9" x14ac:dyDescent="0.25">
      <c r="I307"/>
    </row>
    <row r="308" spans="9:9" x14ac:dyDescent="0.25">
      <c r="I308"/>
    </row>
    <row r="309" spans="9:9" x14ac:dyDescent="0.25">
      <c r="I309"/>
    </row>
    <row r="310" spans="9:9" x14ac:dyDescent="0.25">
      <c r="I310"/>
    </row>
    <row r="311" spans="9:9" x14ac:dyDescent="0.25">
      <c r="I311"/>
    </row>
    <row r="312" spans="9:9" x14ac:dyDescent="0.25">
      <c r="I312"/>
    </row>
    <row r="313" spans="9:9" x14ac:dyDescent="0.25">
      <c r="I313"/>
    </row>
    <row r="314" spans="9:9" x14ac:dyDescent="0.25">
      <c r="I314"/>
    </row>
    <row r="315" spans="9:9" x14ac:dyDescent="0.25">
      <c r="I315"/>
    </row>
    <row r="316" spans="9:9" x14ac:dyDescent="0.25">
      <c r="I316"/>
    </row>
    <row r="317" spans="9:9" x14ac:dyDescent="0.25">
      <c r="I317"/>
    </row>
    <row r="318" spans="9:9" x14ac:dyDescent="0.25">
      <c r="I318"/>
    </row>
    <row r="319" spans="9:9" x14ac:dyDescent="0.25">
      <c r="I319"/>
    </row>
    <row r="320" spans="9:9" x14ac:dyDescent="0.25">
      <c r="I320"/>
    </row>
    <row r="321" spans="9:9" x14ac:dyDescent="0.25">
      <c r="I321"/>
    </row>
    <row r="322" spans="9:9" x14ac:dyDescent="0.25">
      <c r="I322"/>
    </row>
    <row r="323" spans="9:9" x14ac:dyDescent="0.25">
      <c r="I323"/>
    </row>
    <row r="324" spans="9:9" x14ac:dyDescent="0.25">
      <c r="I324"/>
    </row>
    <row r="325" spans="9:9" x14ac:dyDescent="0.25">
      <c r="I325"/>
    </row>
    <row r="326" spans="9:9" x14ac:dyDescent="0.25">
      <c r="I326"/>
    </row>
    <row r="327" spans="9:9" x14ac:dyDescent="0.25">
      <c r="I327"/>
    </row>
    <row r="328" spans="9:9" x14ac:dyDescent="0.25">
      <c r="I328"/>
    </row>
    <row r="329" spans="9:9" x14ac:dyDescent="0.25">
      <c r="I329"/>
    </row>
    <row r="330" spans="9:9" x14ac:dyDescent="0.25">
      <c r="I330"/>
    </row>
    <row r="331" spans="9:9" x14ac:dyDescent="0.25">
      <c r="I331"/>
    </row>
    <row r="332" spans="9:9" x14ac:dyDescent="0.25">
      <c r="I332"/>
    </row>
    <row r="333" spans="9:9" x14ac:dyDescent="0.25">
      <c r="I333"/>
    </row>
    <row r="334" spans="9:9" x14ac:dyDescent="0.25">
      <c r="I334"/>
    </row>
    <row r="335" spans="9:9" x14ac:dyDescent="0.25">
      <c r="I335"/>
    </row>
    <row r="336" spans="9:9" x14ac:dyDescent="0.25">
      <c r="I336"/>
    </row>
    <row r="337" spans="9:9" x14ac:dyDescent="0.25">
      <c r="I337"/>
    </row>
    <row r="338" spans="9:9" x14ac:dyDescent="0.25">
      <c r="I338"/>
    </row>
    <row r="339" spans="9:9" x14ac:dyDescent="0.25">
      <c r="I339"/>
    </row>
    <row r="340" spans="9:9" x14ac:dyDescent="0.25">
      <c r="I340"/>
    </row>
    <row r="341" spans="9:9" x14ac:dyDescent="0.25">
      <c r="I341"/>
    </row>
    <row r="342" spans="9:9" x14ac:dyDescent="0.25">
      <c r="I342"/>
    </row>
    <row r="343" spans="9:9" x14ac:dyDescent="0.25">
      <c r="I343"/>
    </row>
    <row r="344" spans="9:9" x14ac:dyDescent="0.25">
      <c r="I344"/>
    </row>
    <row r="345" spans="9:9" x14ac:dyDescent="0.25">
      <c r="I345"/>
    </row>
    <row r="346" spans="9:9" x14ac:dyDescent="0.25">
      <c r="I346"/>
    </row>
    <row r="347" spans="9:9" x14ac:dyDescent="0.25">
      <c r="I347"/>
    </row>
    <row r="348" spans="9:9" x14ac:dyDescent="0.25">
      <c r="I348"/>
    </row>
    <row r="349" spans="9:9" x14ac:dyDescent="0.25">
      <c r="I349"/>
    </row>
    <row r="350" spans="9:9" x14ac:dyDescent="0.25">
      <c r="I350"/>
    </row>
    <row r="351" spans="9:9" x14ac:dyDescent="0.25">
      <c r="I351"/>
    </row>
    <row r="352" spans="9:9" x14ac:dyDescent="0.25">
      <c r="I352"/>
    </row>
    <row r="353" spans="9:9" x14ac:dyDescent="0.25">
      <c r="I353"/>
    </row>
    <row r="354" spans="9:9" x14ac:dyDescent="0.25">
      <c r="I354"/>
    </row>
    <row r="355" spans="9:9" x14ac:dyDescent="0.25">
      <c r="I355"/>
    </row>
    <row r="356" spans="9:9" x14ac:dyDescent="0.25">
      <c r="I356"/>
    </row>
    <row r="357" spans="9:9" x14ac:dyDescent="0.25">
      <c r="I357"/>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row r="370" spans="9:9" x14ac:dyDescent="0.25">
      <c r="I370"/>
    </row>
    <row r="371" spans="9:9" x14ac:dyDescent="0.25">
      <c r="I371"/>
    </row>
    <row r="372" spans="9:9" x14ac:dyDescent="0.25">
      <c r="I372"/>
    </row>
    <row r="373" spans="9:9" x14ac:dyDescent="0.25">
      <c r="I373"/>
    </row>
    <row r="374" spans="9:9" x14ac:dyDescent="0.25">
      <c r="I374"/>
    </row>
    <row r="375" spans="9:9" x14ac:dyDescent="0.25">
      <c r="I375"/>
    </row>
    <row r="376" spans="9:9" x14ac:dyDescent="0.25">
      <c r="I376"/>
    </row>
    <row r="377" spans="9:9" x14ac:dyDescent="0.25">
      <c r="I377"/>
    </row>
    <row r="378" spans="9:9" x14ac:dyDescent="0.25">
      <c r="I378"/>
    </row>
    <row r="379" spans="9:9" x14ac:dyDescent="0.25">
      <c r="I379"/>
    </row>
    <row r="380" spans="9:9" x14ac:dyDescent="0.25">
      <c r="I380"/>
    </row>
    <row r="381" spans="9:9" x14ac:dyDescent="0.25">
      <c r="I381"/>
    </row>
    <row r="382" spans="9:9" x14ac:dyDescent="0.25">
      <c r="I382"/>
    </row>
    <row r="383" spans="9:9" x14ac:dyDescent="0.25">
      <c r="I383"/>
    </row>
    <row r="384" spans="9:9" x14ac:dyDescent="0.25">
      <c r="I384"/>
    </row>
    <row r="385" spans="9:9" x14ac:dyDescent="0.25">
      <c r="I385"/>
    </row>
    <row r="386" spans="9:9" x14ac:dyDescent="0.25">
      <c r="I386"/>
    </row>
    <row r="387" spans="9:9" x14ac:dyDescent="0.25">
      <c r="I387"/>
    </row>
    <row r="388" spans="9:9" x14ac:dyDescent="0.25">
      <c r="I388"/>
    </row>
    <row r="389" spans="9:9" x14ac:dyDescent="0.25">
      <c r="I389"/>
    </row>
    <row r="390" spans="9:9" x14ac:dyDescent="0.25">
      <c r="I390"/>
    </row>
    <row r="391" spans="9:9" x14ac:dyDescent="0.25">
      <c r="I391"/>
    </row>
    <row r="392" spans="9:9" x14ac:dyDescent="0.25">
      <c r="I392"/>
    </row>
    <row r="393" spans="9:9" x14ac:dyDescent="0.25">
      <c r="I393"/>
    </row>
    <row r="394" spans="9:9" x14ac:dyDescent="0.25">
      <c r="I394"/>
    </row>
    <row r="395" spans="9:9" x14ac:dyDescent="0.25">
      <c r="I395"/>
    </row>
    <row r="396" spans="9:9" x14ac:dyDescent="0.25">
      <c r="I396"/>
    </row>
    <row r="397" spans="9:9" x14ac:dyDescent="0.25">
      <c r="I397"/>
    </row>
    <row r="398" spans="9:9" x14ac:dyDescent="0.25">
      <c r="I398"/>
    </row>
    <row r="399" spans="9:9" x14ac:dyDescent="0.25">
      <c r="I399"/>
    </row>
    <row r="400" spans="9:9" x14ac:dyDescent="0.25">
      <c r="I400"/>
    </row>
    <row r="401" spans="9:9" x14ac:dyDescent="0.25">
      <c r="I401"/>
    </row>
    <row r="402" spans="9:9" x14ac:dyDescent="0.25">
      <c r="I402"/>
    </row>
    <row r="403" spans="9:9" x14ac:dyDescent="0.25">
      <c r="I403"/>
    </row>
    <row r="404" spans="9:9" x14ac:dyDescent="0.25">
      <c r="I404"/>
    </row>
    <row r="405" spans="9:9" x14ac:dyDescent="0.25">
      <c r="I405"/>
    </row>
    <row r="406" spans="9:9" x14ac:dyDescent="0.25">
      <c r="I406"/>
    </row>
    <row r="407" spans="9:9" x14ac:dyDescent="0.25">
      <c r="I407"/>
    </row>
    <row r="408" spans="9:9" x14ac:dyDescent="0.25">
      <c r="I408"/>
    </row>
    <row r="409" spans="9:9" x14ac:dyDescent="0.25">
      <c r="I409"/>
    </row>
    <row r="410" spans="9:9" x14ac:dyDescent="0.25">
      <c r="I410"/>
    </row>
    <row r="411" spans="9:9" x14ac:dyDescent="0.25">
      <c r="I411"/>
    </row>
    <row r="412" spans="9:9" x14ac:dyDescent="0.25">
      <c r="I412"/>
    </row>
    <row r="413" spans="9:9" x14ac:dyDescent="0.25">
      <c r="I413"/>
    </row>
    <row r="414" spans="9:9" x14ac:dyDescent="0.25">
      <c r="I414"/>
    </row>
    <row r="415" spans="9:9" x14ac:dyDescent="0.25">
      <c r="I415"/>
    </row>
    <row r="416" spans="9:9" x14ac:dyDescent="0.25">
      <c r="I416"/>
    </row>
    <row r="417" spans="9:9" x14ac:dyDescent="0.25">
      <c r="I417"/>
    </row>
    <row r="418" spans="9:9" x14ac:dyDescent="0.25">
      <c r="I418"/>
    </row>
    <row r="419" spans="9:9" x14ac:dyDescent="0.25">
      <c r="I419"/>
    </row>
    <row r="420" spans="9:9" x14ac:dyDescent="0.25">
      <c r="I420"/>
    </row>
    <row r="421" spans="9:9" x14ac:dyDescent="0.25">
      <c r="I421"/>
    </row>
    <row r="422" spans="9:9" x14ac:dyDescent="0.25">
      <c r="I422"/>
    </row>
    <row r="423" spans="9:9" x14ac:dyDescent="0.25">
      <c r="I423"/>
    </row>
    <row r="424" spans="9:9" x14ac:dyDescent="0.25">
      <c r="I424"/>
    </row>
    <row r="425" spans="9:9" x14ac:dyDescent="0.25">
      <c r="I425"/>
    </row>
    <row r="426" spans="9:9" x14ac:dyDescent="0.25">
      <c r="I426"/>
    </row>
    <row r="427" spans="9:9" x14ac:dyDescent="0.25">
      <c r="I427"/>
    </row>
    <row r="428" spans="9:9" x14ac:dyDescent="0.25">
      <c r="I428"/>
    </row>
    <row r="429" spans="9:9" x14ac:dyDescent="0.25">
      <c r="I429"/>
    </row>
    <row r="430" spans="9:9" x14ac:dyDescent="0.25">
      <c r="I430"/>
    </row>
    <row r="431" spans="9:9" x14ac:dyDescent="0.25">
      <c r="I431"/>
    </row>
    <row r="432" spans="9:9" x14ac:dyDescent="0.25">
      <c r="I432"/>
    </row>
    <row r="433" spans="9:9" x14ac:dyDescent="0.25">
      <c r="I433"/>
    </row>
    <row r="434" spans="9:9" x14ac:dyDescent="0.25">
      <c r="I434"/>
    </row>
    <row r="435" spans="9:9" x14ac:dyDescent="0.25">
      <c r="I435"/>
    </row>
    <row r="436" spans="9:9" x14ac:dyDescent="0.25">
      <c r="I436"/>
    </row>
    <row r="437" spans="9:9" x14ac:dyDescent="0.25">
      <c r="I437"/>
    </row>
    <row r="438" spans="9:9" x14ac:dyDescent="0.25">
      <c r="I438"/>
    </row>
    <row r="439" spans="9:9" x14ac:dyDescent="0.25">
      <c r="I439"/>
    </row>
    <row r="440" spans="9:9" x14ac:dyDescent="0.25">
      <c r="I440"/>
    </row>
    <row r="441" spans="9:9" x14ac:dyDescent="0.25">
      <c r="I441"/>
    </row>
    <row r="442" spans="9:9" x14ac:dyDescent="0.25">
      <c r="I442"/>
    </row>
    <row r="443" spans="9:9" x14ac:dyDescent="0.25">
      <c r="I443"/>
    </row>
    <row r="444" spans="9:9" x14ac:dyDescent="0.25">
      <c r="I444"/>
    </row>
    <row r="445" spans="9:9" x14ac:dyDescent="0.25">
      <c r="I445"/>
    </row>
    <row r="446" spans="9:9" x14ac:dyDescent="0.25">
      <c r="I446"/>
    </row>
    <row r="447" spans="9:9" x14ac:dyDescent="0.25">
      <c r="I447"/>
    </row>
    <row r="448" spans="9:9" x14ac:dyDescent="0.25">
      <c r="I448"/>
    </row>
    <row r="449" spans="9:9" x14ac:dyDescent="0.25">
      <c r="I449"/>
    </row>
    <row r="450" spans="9:9" x14ac:dyDescent="0.25">
      <c r="I450"/>
    </row>
    <row r="451" spans="9:9" x14ac:dyDescent="0.25">
      <c r="I451"/>
    </row>
    <row r="452" spans="9:9" x14ac:dyDescent="0.25">
      <c r="I452"/>
    </row>
    <row r="453" spans="9:9" x14ac:dyDescent="0.25">
      <c r="I453"/>
    </row>
    <row r="454" spans="9:9" x14ac:dyDescent="0.25">
      <c r="I454"/>
    </row>
    <row r="455" spans="9:9" x14ac:dyDescent="0.25">
      <c r="I455"/>
    </row>
    <row r="456" spans="9:9" x14ac:dyDescent="0.25">
      <c r="I456"/>
    </row>
    <row r="457" spans="9:9" x14ac:dyDescent="0.25">
      <c r="I457"/>
    </row>
    <row r="458" spans="9:9" x14ac:dyDescent="0.25">
      <c r="I458"/>
    </row>
    <row r="459" spans="9:9" x14ac:dyDescent="0.25">
      <c r="I459"/>
    </row>
    <row r="460" spans="9:9" x14ac:dyDescent="0.25">
      <c r="I460"/>
    </row>
    <row r="461" spans="9:9" x14ac:dyDescent="0.25">
      <c r="I461"/>
    </row>
    <row r="462" spans="9:9" x14ac:dyDescent="0.25">
      <c r="I462"/>
    </row>
    <row r="463" spans="9:9" x14ac:dyDescent="0.25">
      <c r="I463"/>
    </row>
    <row r="464" spans="9:9" x14ac:dyDescent="0.25">
      <c r="I464"/>
    </row>
    <row r="465" spans="9:9" x14ac:dyDescent="0.25">
      <c r="I465"/>
    </row>
    <row r="466" spans="9:9" x14ac:dyDescent="0.25">
      <c r="I466"/>
    </row>
    <row r="467" spans="9:9" x14ac:dyDescent="0.25">
      <c r="I467"/>
    </row>
    <row r="468" spans="9:9" x14ac:dyDescent="0.25">
      <c r="I468"/>
    </row>
    <row r="469" spans="9:9" x14ac:dyDescent="0.25">
      <c r="I469"/>
    </row>
    <row r="470" spans="9:9" x14ac:dyDescent="0.25">
      <c r="I470"/>
    </row>
    <row r="471" spans="9:9" x14ac:dyDescent="0.25">
      <c r="I471"/>
    </row>
    <row r="472" spans="9:9" x14ac:dyDescent="0.25">
      <c r="I472"/>
    </row>
    <row r="473" spans="9:9" x14ac:dyDescent="0.25">
      <c r="I473"/>
    </row>
    <row r="474" spans="9:9" x14ac:dyDescent="0.25">
      <c r="I474"/>
    </row>
    <row r="475" spans="9:9" x14ac:dyDescent="0.25">
      <c r="I475"/>
    </row>
    <row r="476" spans="9:9" x14ac:dyDescent="0.25">
      <c r="I476"/>
    </row>
    <row r="477" spans="9:9" x14ac:dyDescent="0.25">
      <c r="I477"/>
    </row>
    <row r="478" spans="9:9" x14ac:dyDescent="0.25">
      <c r="I478"/>
    </row>
    <row r="479" spans="9:9" x14ac:dyDescent="0.25">
      <c r="I479"/>
    </row>
    <row r="480" spans="9:9" x14ac:dyDescent="0.25">
      <c r="I480"/>
    </row>
    <row r="481" spans="9:9" x14ac:dyDescent="0.25">
      <c r="I481"/>
    </row>
    <row r="482" spans="9:9" x14ac:dyDescent="0.25">
      <c r="I482"/>
    </row>
    <row r="483" spans="9:9" x14ac:dyDescent="0.25">
      <c r="I483"/>
    </row>
    <row r="484" spans="9:9" x14ac:dyDescent="0.25">
      <c r="I484"/>
    </row>
    <row r="485" spans="9:9" x14ac:dyDescent="0.25">
      <c r="I485"/>
    </row>
    <row r="486" spans="9:9" x14ac:dyDescent="0.25">
      <c r="I486"/>
    </row>
    <row r="487" spans="9:9" x14ac:dyDescent="0.25">
      <c r="I487"/>
    </row>
    <row r="488" spans="9:9" x14ac:dyDescent="0.25">
      <c r="I488"/>
    </row>
    <row r="489" spans="9:9" x14ac:dyDescent="0.25">
      <c r="I489"/>
    </row>
    <row r="490" spans="9:9" x14ac:dyDescent="0.25">
      <c r="I490"/>
    </row>
    <row r="491" spans="9:9" x14ac:dyDescent="0.25">
      <c r="I491"/>
    </row>
    <row r="492" spans="9:9" x14ac:dyDescent="0.25">
      <c r="I492"/>
    </row>
    <row r="493" spans="9:9" x14ac:dyDescent="0.25">
      <c r="I493"/>
    </row>
    <row r="494" spans="9:9" x14ac:dyDescent="0.25">
      <c r="I494"/>
    </row>
    <row r="495" spans="9:9" x14ac:dyDescent="0.25">
      <c r="I495"/>
    </row>
    <row r="496" spans="9:9" x14ac:dyDescent="0.25">
      <c r="I496"/>
    </row>
    <row r="497" spans="9:9" x14ac:dyDescent="0.25">
      <c r="I497"/>
    </row>
    <row r="498" spans="9:9" x14ac:dyDescent="0.25">
      <c r="I498"/>
    </row>
    <row r="499" spans="9:9" x14ac:dyDescent="0.25">
      <c r="I499"/>
    </row>
    <row r="500" spans="9:9" x14ac:dyDescent="0.25">
      <c r="I500"/>
    </row>
    <row r="501" spans="9:9" x14ac:dyDescent="0.25">
      <c r="I501"/>
    </row>
    <row r="502" spans="9:9" x14ac:dyDescent="0.25">
      <c r="I502"/>
    </row>
    <row r="503" spans="9:9" x14ac:dyDescent="0.25">
      <c r="I503"/>
    </row>
    <row r="504" spans="9:9" x14ac:dyDescent="0.25">
      <c r="I504"/>
    </row>
    <row r="505" spans="9:9" x14ac:dyDescent="0.25">
      <c r="I505"/>
    </row>
    <row r="506" spans="9:9" x14ac:dyDescent="0.25">
      <c r="I506"/>
    </row>
    <row r="507" spans="9:9" x14ac:dyDescent="0.25">
      <c r="I507"/>
    </row>
    <row r="508" spans="9:9" x14ac:dyDescent="0.25">
      <c r="I508"/>
    </row>
    <row r="509" spans="9:9" x14ac:dyDescent="0.25">
      <c r="I509"/>
    </row>
    <row r="510" spans="9:9" x14ac:dyDescent="0.25">
      <c r="I510"/>
    </row>
    <row r="511" spans="9:9" x14ac:dyDescent="0.25">
      <c r="I511"/>
    </row>
    <row r="512" spans="9:9" x14ac:dyDescent="0.25">
      <c r="I512"/>
    </row>
    <row r="513" spans="9:9" x14ac:dyDescent="0.25">
      <c r="I513"/>
    </row>
    <row r="514" spans="9:9" x14ac:dyDescent="0.25">
      <c r="I514"/>
    </row>
    <row r="515" spans="9:9" x14ac:dyDescent="0.25">
      <c r="I515"/>
    </row>
    <row r="516" spans="9:9" x14ac:dyDescent="0.25">
      <c r="I516"/>
    </row>
    <row r="517" spans="9:9" x14ac:dyDescent="0.25">
      <c r="I517"/>
    </row>
    <row r="518" spans="9:9" x14ac:dyDescent="0.25">
      <c r="I518"/>
    </row>
    <row r="519" spans="9:9" x14ac:dyDescent="0.25">
      <c r="I519"/>
    </row>
    <row r="520" spans="9:9" x14ac:dyDescent="0.25">
      <c r="I520"/>
    </row>
    <row r="521" spans="9:9" x14ac:dyDescent="0.25">
      <c r="I521"/>
    </row>
    <row r="522" spans="9:9" x14ac:dyDescent="0.25">
      <c r="I522"/>
    </row>
    <row r="523" spans="9:9" x14ac:dyDescent="0.25">
      <c r="I523"/>
    </row>
    <row r="524" spans="9:9" x14ac:dyDescent="0.25">
      <c r="I524"/>
    </row>
    <row r="525" spans="9:9" x14ac:dyDescent="0.25">
      <c r="I525"/>
    </row>
    <row r="526" spans="9:9" x14ac:dyDescent="0.25">
      <c r="I526"/>
    </row>
    <row r="527" spans="9:9" x14ac:dyDescent="0.25">
      <c r="I527"/>
    </row>
    <row r="528" spans="9:9" x14ac:dyDescent="0.25">
      <c r="I528"/>
    </row>
    <row r="529" spans="9:9" x14ac:dyDescent="0.25">
      <c r="I529"/>
    </row>
    <row r="530" spans="9:9" x14ac:dyDescent="0.25">
      <c r="I530"/>
    </row>
    <row r="531" spans="9:9" x14ac:dyDescent="0.25">
      <c r="I531"/>
    </row>
    <row r="532" spans="9:9" x14ac:dyDescent="0.25">
      <c r="I532"/>
    </row>
    <row r="533" spans="9:9" x14ac:dyDescent="0.25">
      <c r="I533"/>
    </row>
    <row r="534" spans="9:9" x14ac:dyDescent="0.25">
      <c r="I534"/>
    </row>
    <row r="535" spans="9:9" x14ac:dyDescent="0.25">
      <c r="I535"/>
    </row>
    <row r="536" spans="9:9" x14ac:dyDescent="0.25">
      <c r="I536"/>
    </row>
    <row r="537" spans="9:9" x14ac:dyDescent="0.25">
      <c r="I537"/>
    </row>
    <row r="538" spans="9:9" x14ac:dyDescent="0.25">
      <c r="I538"/>
    </row>
    <row r="539" spans="9:9" x14ac:dyDescent="0.25">
      <c r="I539"/>
    </row>
    <row r="540" spans="9:9" x14ac:dyDescent="0.25">
      <c r="I540"/>
    </row>
    <row r="541" spans="9:9" x14ac:dyDescent="0.25">
      <c r="I541"/>
    </row>
    <row r="542" spans="9:9" x14ac:dyDescent="0.25">
      <c r="I542"/>
    </row>
    <row r="543" spans="9:9" x14ac:dyDescent="0.25">
      <c r="I543"/>
    </row>
    <row r="544" spans="9:9" x14ac:dyDescent="0.25">
      <c r="I544"/>
    </row>
    <row r="545" spans="9:9" x14ac:dyDescent="0.25">
      <c r="I545"/>
    </row>
    <row r="546" spans="9:9" x14ac:dyDescent="0.25">
      <c r="I546"/>
    </row>
    <row r="547" spans="9:9" x14ac:dyDescent="0.25">
      <c r="I547"/>
    </row>
    <row r="548" spans="9:9" x14ac:dyDescent="0.25">
      <c r="I548"/>
    </row>
    <row r="549" spans="9:9" x14ac:dyDescent="0.25">
      <c r="I549"/>
    </row>
    <row r="550" spans="9:9" x14ac:dyDescent="0.25">
      <c r="I550"/>
    </row>
    <row r="551" spans="9:9" x14ac:dyDescent="0.25">
      <c r="I551"/>
    </row>
    <row r="552" spans="9:9" x14ac:dyDescent="0.25">
      <c r="I552"/>
    </row>
    <row r="553" spans="9:9" x14ac:dyDescent="0.25">
      <c r="I553"/>
    </row>
    <row r="554" spans="9:9" x14ac:dyDescent="0.25">
      <c r="I554"/>
    </row>
    <row r="555" spans="9:9" x14ac:dyDescent="0.25">
      <c r="I555"/>
    </row>
    <row r="556" spans="9:9" x14ac:dyDescent="0.25">
      <c r="I556"/>
    </row>
    <row r="557" spans="9:9" x14ac:dyDescent="0.25">
      <c r="I557"/>
    </row>
    <row r="558" spans="9:9" x14ac:dyDescent="0.25">
      <c r="I558"/>
    </row>
    <row r="559" spans="9:9" x14ac:dyDescent="0.25">
      <c r="I559"/>
    </row>
    <row r="560" spans="9:9" x14ac:dyDescent="0.25">
      <c r="I560"/>
    </row>
    <row r="561" spans="9:9" x14ac:dyDescent="0.25">
      <c r="I561"/>
    </row>
    <row r="562" spans="9:9" x14ac:dyDescent="0.25">
      <c r="I562"/>
    </row>
    <row r="563" spans="9:9" x14ac:dyDescent="0.25">
      <c r="I563"/>
    </row>
    <row r="564" spans="9:9" x14ac:dyDescent="0.25">
      <c r="I564"/>
    </row>
    <row r="565" spans="9:9" x14ac:dyDescent="0.25">
      <c r="I565"/>
    </row>
    <row r="566" spans="9:9" x14ac:dyDescent="0.25">
      <c r="I566"/>
    </row>
    <row r="567" spans="9:9" x14ac:dyDescent="0.25">
      <c r="I567"/>
    </row>
    <row r="568" spans="9:9" x14ac:dyDescent="0.25">
      <c r="I568"/>
    </row>
    <row r="569" spans="9:9" x14ac:dyDescent="0.25">
      <c r="I569"/>
    </row>
    <row r="570" spans="9:9" x14ac:dyDescent="0.25">
      <c r="I570"/>
    </row>
    <row r="571" spans="9:9" x14ac:dyDescent="0.25">
      <c r="I571"/>
    </row>
    <row r="572" spans="9:9" x14ac:dyDescent="0.25">
      <c r="I572"/>
    </row>
    <row r="573" spans="9:9" x14ac:dyDescent="0.25">
      <c r="I573"/>
    </row>
    <row r="574" spans="9:9" x14ac:dyDescent="0.25">
      <c r="I574"/>
    </row>
    <row r="575" spans="9:9" x14ac:dyDescent="0.25">
      <c r="I575"/>
    </row>
    <row r="576" spans="9:9" x14ac:dyDescent="0.25">
      <c r="I576"/>
    </row>
    <row r="577" spans="9:9" x14ac:dyDescent="0.25">
      <c r="I577"/>
    </row>
    <row r="578" spans="9:9" x14ac:dyDescent="0.25">
      <c r="I578"/>
    </row>
    <row r="579" spans="9:9" x14ac:dyDescent="0.25">
      <c r="I579"/>
    </row>
    <row r="580" spans="9:9" x14ac:dyDescent="0.25">
      <c r="I580"/>
    </row>
    <row r="581" spans="9:9" x14ac:dyDescent="0.25">
      <c r="I581"/>
    </row>
    <row r="582" spans="9:9" x14ac:dyDescent="0.25">
      <c r="I582"/>
    </row>
    <row r="583" spans="9:9" x14ac:dyDescent="0.25">
      <c r="I583"/>
    </row>
    <row r="584" spans="9:9" x14ac:dyDescent="0.25">
      <c r="I584"/>
    </row>
    <row r="585" spans="9:9" x14ac:dyDescent="0.25">
      <c r="I585"/>
    </row>
    <row r="586" spans="9:9" x14ac:dyDescent="0.25">
      <c r="I586"/>
    </row>
    <row r="587" spans="9:9" x14ac:dyDescent="0.25">
      <c r="I587"/>
    </row>
    <row r="588" spans="9:9" x14ac:dyDescent="0.25">
      <c r="I588"/>
    </row>
    <row r="589" spans="9:9" x14ac:dyDescent="0.25">
      <c r="I589"/>
    </row>
    <row r="590" spans="9:9" x14ac:dyDescent="0.25">
      <c r="I590"/>
    </row>
    <row r="591" spans="9:9" x14ac:dyDescent="0.25">
      <c r="I591"/>
    </row>
    <row r="592" spans="9:9" x14ac:dyDescent="0.25">
      <c r="I592"/>
    </row>
    <row r="593" spans="9:9" x14ac:dyDescent="0.25">
      <c r="I593"/>
    </row>
    <row r="594" spans="9:9" x14ac:dyDescent="0.25">
      <c r="I594"/>
    </row>
    <row r="595" spans="9:9" x14ac:dyDescent="0.25">
      <c r="I595"/>
    </row>
    <row r="596" spans="9:9" x14ac:dyDescent="0.25">
      <c r="I596"/>
    </row>
    <row r="597" spans="9:9" x14ac:dyDescent="0.25">
      <c r="I597"/>
    </row>
    <row r="598" spans="9:9" x14ac:dyDescent="0.25">
      <c r="I598"/>
    </row>
    <row r="599" spans="9:9" x14ac:dyDescent="0.25">
      <c r="I599"/>
    </row>
    <row r="600" spans="9:9" x14ac:dyDescent="0.25">
      <c r="I600"/>
    </row>
    <row r="601" spans="9:9" x14ac:dyDescent="0.25">
      <c r="I601"/>
    </row>
    <row r="602" spans="9:9" x14ac:dyDescent="0.25">
      <c r="I602"/>
    </row>
    <row r="603" spans="9:9" x14ac:dyDescent="0.25">
      <c r="I603"/>
    </row>
    <row r="604" spans="9:9" x14ac:dyDescent="0.25">
      <c r="I604"/>
    </row>
    <row r="605" spans="9:9" x14ac:dyDescent="0.25">
      <c r="I605"/>
    </row>
    <row r="606" spans="9:9" x14ac:dyDescent="0.25">
      <c r="I606"/>
    </row>
    <row r="607" spans="9:9" x14ac:dyDescent="0.25">
      <c r="I607"/>
    </row>
    <row r="608" spans="9:9" x14ac:dyDescent="0.25">
      <c r="I608"/>
    </row>
    <row r="609" spans="9:9" x14ac:dyDescent="0.25">
      <c r="I609"/>
    </row>
    <row r="610" spans="9:9" x14ac:dyDescent="0.25">
      <c r="I610"/>
    </row>
    <row r="611" spans="9:9" x14ac:dyDescent="0.25">
      <c r="I611"/>
    </row>
    <row r="612" spans="9:9" x14ac:dyDescent="0.25">
      <c r="I612"/>
    </row>
    <row r="613" spans="9:9" x14ac:dyDescent="0.25">
      <c r="I613"/>
    </row>
    <row r="614" spans="9:9" x14ac:dyDescent="0.25">
      <c r="I614"/>
    </row>
    <row r="615" spans="9:9" x14ac:dyDescent="0.25">
      <c r="I615"/>
    </row>
    <row r="616" spans="9:9" x14ac:dyDescent="0.25">
      <c r="I616"/>
    </row>
    <row r="617" spans="9:9" x14ac:dyDescent="0.25">
      <c r="I617"/>
    </row>
    <row r="618" spans="9:9" x14ac:dyDescent="0.25">
      <c r="I618"/>
    </row>
    <row r="619" spans="9:9" x14ac:dyDescent="0.25">
      <c r="I619"/>
    </row>
    <row r="620" spans="9:9" x14ac:dyDescent="0.25">
      <c r="I620"/>
    </row>
    <row r="621" spans="9:9" x14ac:dyDescent="0.25">
      <c r="I621"/>
    </row>
    <row r="622" spans="9:9" x14ac:dyDescent="0.25">
      <c r="I622"/>
    </row>
    <row r="623" spans="9:9" x14ac:dyDescent="0.25">
      <c r="I623"/>
    </row>
    <row r="624" spans="9:9" x14ac:dyDescent="0.25">
      <c r="I624"/>
    </row>
    <row r="625" spans="9:9" x14ac:dyDescent="0.25">
      <c r="I625"/>
    </row>
    <row r="626" spans="9:9" x14ac:dyDescent="0.25">
      <c r="I626"/>
    </row>
    <row r="627" spans="9:9" x14ac:dyDescent="0.25">
      <c r="I627"/>
    </row>
    <row r="628" spans="9:9" x14ac:dyDescent="0.25">
      <c r="I628"/>
    </row>
    <row r="629" spans="9:9" x14ac:dyDescent="0.25">
      <c r="I629"/>
    </row>
    <row r="630" spans="9:9" x14ac:dyDescent="0.25">
      <c r="I630"/>
    </row>
    <row r="631" spans="9:9" x14ac:dyDescent="0.25">
      <c r="I631"/>
    </row>
    <row r="632" spans="9:9" x14ac:dyDescent="0.25">
      <c r="I632"/>
    </row>
    <row r="633" spans="9:9" x14ac:dyDescent="0.25">
      <c r="I633"/>
    </row>
    <row r="634" spans="9:9" x14ac:dyDescent="0.25">
      <c r="I634"/>
    </row>
    <row r="635" spans="9:9" x14ac:dyDescent="0.25">
      <c r="I635"/>
    </row>
    <row r="636" spans="9:9" x14ac:dyDescent="0.25">
      <c r="I636"/>
    </row>
    <row r="637" spans="9:9" x14ac:dyDescent="0.25">
      <c r="I637"/>
    </row>
    <row r="638" spans="9:9" x14ac:dyDescent="0.25">
      <c r="I638"/>
    </row>
    <row r="639" spans="9:9" x14ac:dyDescent="0.25">
      <c r="I639"/>
    </row>
    <row r="640" spans="9:9" x14ac:dyDescent="0.25">
      <c r="I640"/>
    </row>
    <row r="641" spans="9:9" x14ac:dyDescent="0.25">
      <c r="I641"/>
    </row>
    <row r="642" spans="9:9" x14ac:dyDescent="0.25">
      <c r="I642"/>
    </row>
    <row r="643" spans="9:9" x14ac:dyDescent="0.25">
      <c r="I643"/>
    </row>
    <row r="644" spans="9:9" x14ac:dyDescent="0.25">
      <c r="I644"/>
    </row>
    <row r="645" spans="9:9" x14ac:dyDescent="0.25">
      <c r="I645"/>
    </row>
    <row r="646" spans="9:9" x14ac:dyDescent="0.25">
      <c r="I646"/>
    </row>
    <row r="647" spans="9:9" x14ac:dyDescent="0.25">
      <c r="I647"/>
    </row>
    <row r="648" spans="9:9" x14ac:dyDescent="0.25">
      <c r="I648"/>
    </row>
    <row r="649" spans="9:9" x14ac:dyDescent="0.25">
      <c r="I649"/>
    </row>
    <row r="650" spans="9:9" x14ac:dyDescent="0.25">
      <c r="I650"/>
    </row>
    <row r="651" spans="9:9" x14ac:dyDescent="0.25">
      <c r="I651"/>
    </row>
    <row r="652" spans="9:9" x14ac:dyDescent="0.25">
      <c r="I652"/>
    </row>
    <row r="653" spans="9:9" x14ac:dyDescent="0.25">
      <c r="I653"/>
    </row>
    <row r="654" spans="9:9" x14ac:dyDescent="0.25">
      <c r="I654"/>
    </row>
    <row r="655" spans="9:9" x14ac:dyDescent="0.25">
      <c r="I655"/>
    </row>
    <row r="656" spans="9:9" x14ac:dyDescent="0.25">
      <c r="I656"/>
    </row>
    <row r="657" spans="9:9" x14ac:dyDescent="0.25">
      <c r="I657"/>
    </row>
    <row r="658" spans="9:9" x14ac:dyDescent="0.25">
      <c r="I658"/>
    </row>
    <row r="659" spans="9:9" x14ac:dyDescent="0.25">
      <c r="I659"/>
    </row>
    <row r="660" spans="9:9" x14ac:dyDescent="0.25">
      <c r="I660"/>
    </row>
    <row r="661" spans="9:9" x14ac:dyDescent="0.25">
      <c r="I661"/>
    </row>
    <row r="662" spans="9:9" x14ac:dyDescent="0.25">
      <c r="I662"/>
    </row>
    <row r="663" spans="9:9" x14ac:dyDescent="0.25">
      <c r="I663"/>
    </row>
    <row r="664" spans="9:9" x14ac:dyDescent="0.25">
      <c r="I664"/>
    </row>
    <row r="665" spans="9:9" x14ac:dyDescent="0.25">
      <c r="I665"/>
    </row>
    <row r="666" spans="9:9" x14ac:dyDescent="0.25">
      <c r="I666"/>
    </row>
    <row r="667" spans="9:9" x14ac:dyDescent="0.25">
      <c r="I667"/>
    </row>
    <row r="668" spans="9:9" x14ac:dyDescent="0.25">
      <c r="I668"/>
    </row>
    <row r="669" spans="9:9" x14ac:dyDescent="0.25">
      <c r="I669"/>
    </row>
    <row r="670" spans="9:9" x14ac:dyDescent="0.25">
      <c r="I670"/>
    </row>
    <row r="671" spans="9:9" x14ac:dyDescent="0.25">
      <c r="I671"/>
    </row>
    <row r="672" spans="9:9" x14ac:dyDescent="0.25">
      <c r="I672"/>
    </row>
    <row r="673" spans="9:9" x14ac:dyDescent="0.25">
      <c r="I673"/>
    </row>
    <row r="674" spans="9:9" x14ac:dyDescent="0.25">
      <c r="I674"/>
    </row>
    <row r="675" spans="9:9" x14ac:dyDescent="0.25">
      <c r="I675"/>
    </row>
    <row r="676" spans="9:9" x14ac:dyDescent="0.25">
      <c r="I676"/>
    </row>
    <row r="677" spans="9:9" x14ac:dyDescent="0.25">
      <c r="I677"/>
    </row>
    <row r="678" spans="9:9" x14ac:dyDescent="0.25">
      <c r="I678"/>
    </row>
    <row r="679" spans="9:9" x14ac:dyDescent="0.25">
      <c r="I679"/>
    </row>
    <row r="680" spans="9:9" x14ac:dyDescent="0.25">
      <c r="I680"/>
    </row>
    <row r="681" spans="9:9" x14ac:dyDescent="0.25">
      <c r="I681"/>
    </row>
    <row r="682" spans="9:9" x14ac:dyDescent="0.25">
      <c r="I682"/>
    </row>
    <row r="683" spans="9:9" x14ac:dyDescent="0.25">
      <c r="I683"/>
    </row>
    <row r="684" spans="9:9" x14ac:dyDescent="0.25">
      <c r="I684"/>
    </row>
    <row r="685" spans="9:9" x14ac:dyDescent="0.25">
      <c r="I685"/>
    </row>
    <row r="686" spans="9:9" x14ac:dyDescent="0.25">
      <c r="I686"/>
    </row>
    <row r="687" spans="9:9" x14ac:dyDescent="0.25">
      <c r="I687"/>
    </row>
    <row r="688" spans="9:9" x14ac:dyDescent="0.25">
      <c r="I688"/>
    </row>
    <row r="689" spans="9:9" x14ac:dyDescent="0.25">
      <c r="I689"/>
    </row>
    <row r="690" spans="9:9" x14ac:dyDescent="0.25">
      <c r="I690"/>
    </row>
    <row r="691" spans="9:9" x14ac:dyDescent="0.25">
      <c r="I691"/>
    </row>
    <row r="692" spans="9:9" x14ac:dyDescent="0.25">
      <c r="I692"/>
    </row>
    <row r="693" spans="9:9" x14ac:dyDescent="0.25">
      <c r="I693"/>
    </row>
    <row r="694" spans="9:9" x14ac:dyDescent="0.25">
      <c r="I694"/>
    </row>
    <row r="695" spans="9:9" x14ac:dyDescent="0.25">
      <c r="I695"/>
    </row>
    <row r="696" spans="9:9" x14ac:dyDescent="0.25">
      <c r="I696"/>
    </row>
    <row r="697" spans="9:9" x14ac:dyDescent="0.25">
      <c r="I697"/>
    </row>
    <row r="698" spans="9:9" x14ac:dyDescent="0.25">
      <c r="I698"/>
    </row>
    <row r="699" spans="9:9" x14ac:dyDescent="0.25">
      <c r="I699"/>
    </row>
    <row r="700" spans="9:9" x14ac:dyDescent="0.25">
      <c r="I700"/>
    </row>
    <row r="701" spans="9:9" x14ac:dyDescent="0.25">
      <c r="I701"/>
    </row>
    <row r="702" spans="9:9" x14ac:dyDescent="0.25">
      <c r="I702"/>
    </row>
    <row r="703" spans="9:9" x14ac:dyDescent="0.25">
      <c r="I703"/>
    </row>
    <row r="704" spans="9:9" x14ac:dyDescent="0.25">
      <c r="I704"/>
    </row>
    <row r="705" spans="9:9" x14ac:dyDescent="0.25">
      <c r="I705"/>
    </row>
    <row r="706" spans="9:9" x14ac:dyDescent="0.25">
      <c r="I706"/>
    </row>
    <row r="707" spans="9:9" x14ac:dyDescent="0.25">
      <c r="I707"/>
    </row>
    <row r="708" spans="9:9" x14ac:dyDescent="0.25">
      <c r="I708"/>
    </row>
    <row r="709" spans="9:9" x14ac:dyDescent="0.25">
      <c r="I709"/>
    </row>
    <row r="710" spans="9:9" x14ac:dyDescent="0.25">
      <c r="I710"/>
    </row>
    <row r="711" spans="9:9" x14ac:dyDescent="0.25">
      <c r="I711"/>
    </row>
    <row r="712" spans="9:9" x14ac:dyDescent="0.25">
      <c r="I712"/>
    </row>
    <row r="713" spans="9:9" x14ac:dyDescent="0.25">
      <c r="I713"/>
    </row>
    <row r="714" spans="9:9" x14ac:dyDescent="0.25">
      <c r="I714"/>
    </row>
    <row r="715" spans="9:9" x14ac:dyDescent="0.25">
      <c r="I715"/>
    </row>
    <row r="716" spans="9:9" x14ac:dyDescent="0.25">
      <c r="I716"/>
    </row>
    <row r="717" spans="9:9" x14ac:dyDescent="0.25">
      <c r="I717"/>
    </row>
    <row r="718" spans="9:9" x14ac:dyDescent="0.25">
      <c r="I718"/>
    </row>
    <row r="719" spans="9:9" x14ac:dyDescent="0.25">
      <c r="I719"/>
    </row>
    <row r="720" spans="9:9" x14ac:dyDescent="0.25">
      <c r="I720"/>
    </row>
    <row r="721" spans="9:9" x14ac:dyDescent="0.25">
      <c r="I721"/>
    </row>
    <row r="722" spans="9:9" x14ac:dyDescent="0.25">
      <c r="I722"/>
    </row>
    <row r="723" spans="9:9" x14ac:dyDescent="0.25">
      <c r="I723"/>
    </row>
    <row r="724" spans="9:9" x14ac:dyDescent="0.25">
      <c r="I724"/>
    </row>
    <row r="725" spans="9:9" x14ac:dyDescent="0.25">
      <c r="I725"/>
    </row>
    <row r="726" spans="9:9" x14ac:dyDescent="0.25">
      <c r="I726"/>
    </row>
    <row r="727" spans="9:9" x14ac:dyDescent="0.25">
      <c r="I727"/>
    </row>
    <row r="728" spans="9:9" x14ac:dyDescent="0.25">
      <c r="I728"/>
    </row>
    <row r="729" spans="9:9" x14ac:dyDescent="0.25">
      <c r="I729"/>
    </row>
    <row r="730" spans="9:9" x14ac:dyDescent="0.25">
      <c r="I730"/>
    </row>
    <row r="731" spans="9:9" x14ac:dyDescent="0.25">
      <c r="I731"/>
    </row>
    <row r="732" spans="9:9" x14ac:dyDescent="0.25">
      <c r="I732"/>
    </row>
    <row r="733" spans="9:9" x14ac:dyDescent="0.25">
      <c r="I733"/>
    </row>
    <row r="734" spans="9:9" x14ac:dyDescent="0.25">
      <c r="I734"/>
    </row>
    <row r="735" spans="9:9" x14ac:dyDescent="0.25">
      <c r="I735"/>
    </row>
    <row r="736" spans="9:9" x14ac:dyDescent="0.25">
      <c r="I736"/>
    </row>
    <row r="737" spans="9:9" x14ac:dyDescent="0.25">
      <c r="I737"/>
    </row>
    <row r="738" spans="9:9" x14ac:dyDescent="0.25">
      <c r="I738"/>
    </row>
    <row r="739" spans="9:9" x14ac:dyDescent="0.25">
      <c r="I739"/>
    </row>
    <row r="740" spans="9:9" x14ac:dyDescent="0.25">
      <c r="I740"/>
    </row>
    <row r="741" spans="9:9" x14ac:dyDescent="0.25">
      <c r="I741"/>
    </row>
    <row r="742" spans="9:9" x14ac:dyDescent="0.25">
      <c r="I742"/>
    </row>
    <row r="743" spans="9:9" x14ac:dyDescent="0.25">
      <c r="I743"/>
    </row>
    <row r="744" spans="9:9" x14ac:dyDescent="0.25">
      <c r="I744"/>
    </row>
    <row r="745" spans="9:9" x14ac:dyDescent="0.25">
      <c r="I745"/>
    </row>
    <row r="746" spans="9:9" x14ac:dyDescent="0.25">
      <c r="I746"/>
    </row>
    <row r="747" spans="9:9" x14ac:dyDescent="0.25">
      <c r="I747"/>
    </row>
    <row r="748" spans="9:9" x14ac:dyDescent="0.25">
      <c r="I748"/>
    </row>
    <row r="749" spans="9:9" x14ac:dyDescent="0.25">
      <c r="I749"/>
    </row>
    <row r="750" spans="9:9" x14ac:dyDescent="0.25">
      <c r="I750"/>
    </row>
    <row r="751" spans="9:9" x14ac:dyDescent="0.25">
      <c r="I751"/>
    </row>
    <row r="752" spans="9:9" x14ac:dyDescent="0.25">
      <c r="I752"/>
    </row>
    <row r="753" spans="9:9" x14ac:dyDescent="0.25">
      <c r="I753"/>
    </row>
    <row r="754" spans="9:9" x14ac:dyDescent="0.25">
      <c r="I754"/>
    </row>
    <row r="755" spans="9:9" x14ac:dyDescent="0.25">
      <c r="I755"/>
    </row>
    <row r="756" spans="9:9" x14ac:dyDescent="0.25">
      <c r="I756"/>
    </row>
    <row r="757" spans="9:9" x14ac:dyDescent="0.25">
      <c r="I757"/>
    </row>
    <row r="758" spans="9:9" x14ac:dyDescent="0.25">
      <c r="I758"/>
    </row>
    <row r="759" spans="9:9" x14ac:dyDescent="0.25">
      <c r="I759"/>
    </row>
    <row r="760" spans="9:9" x14ac:dyDescent="0.25">
      <c r="I760"/>
    </row>
    <row r="761" spans="9:9" x14ac:dyDescent="0.25">
      <c r="I761"/>
    </row>
    <row r="762" spans="9:9" x14ac:dyDescent="0.25">
      <c r="I762"/>
    </row>
    <row r="763" spans="9:9" x14ac:dyDescent="0.25">
      <c r="I763"/>
    </row>
    <row r="764" spans="9:9" x14ac:dyDescent="0.25">
      <c r="I764"/>
    </row>
    <row r="765" spans="9:9" x14ac:dyDescent="0.25">
      <c r="I765"/>
    </row>
    <row r="766" spans="9:9" x14ac:dyDescent="0.25">
      <c r="I766"/>
    </row>
    <row r="767" spans="9:9" x14ac:dyDescent="0.25">
      <c r="I767"/>
    </row>
    <row r="768" spans="9:9" x14ac:dyDescent="0.25">
      <c r="I768"/>
    </row>
    <row r="769" spans="9:9" x14ac:dyDescent="0.25">
      <c r="I769"/>
    </row>
    <row r="770" spans="9:9" x14ac:dyDescent="0.25">
      <c r="I770"/>
    </row>
    <row r="771" spans="9:9" x14ac:dyDescent="0.25">
      <c r="I771"/>
    </row>
    <row r="772" spans="9:9" x14ac:dyDescent="0.25">
      <c r="I772"/>
    </row>
    <row r="773" spans="9:9" x14ac:dyDescent="0.25">
      <c r="I773"/>
    </row>
    <row r="774" spans="9:9" x14ac:dyDescent="0.25">
      <c r="I774"/>
    </row>
    <row r="775" spans="9:9" x14ac:dyDescent="0.25">
      <c r="I775"/>
    </row>
    <row r="776" spans="9:9" x14ac:dyDescent="0.25">
      <c r="I776"/>
    </row>
    <row r="777" spans="9:9" x14ac:dyDescent="0.25">
      <c r="I777"/>
    </row>
    <row r="778" spans="9:9" x14ac:dyDescent="0.25">
      <c r="I778"/>
    </row>
    <row r="779" spans="9:9" x14ac:dyDescent="0.25">
      <c r="I779"/>
    </row>
    <row r="780" spans="9:9" x14ac:dyDescent="0.25">
      <c r="I780"/>
    </row>
    <row r="781" spans="9:9" x14ac:dyDescent="0.25">
      <c r="I781"/>
    </row>
    <row r="782" spans="9:9" x14ac:dyDescent="0.25">
      <c r="I782"/>
    </row>
    <row r="783" spans="9:9" x14ac:dyDescent="0.25">
      <c r="I783"/>
    </row>
    <row r="784" spans="9:9" x14ac:dyDescent="0.25">
      <c r="I784"/>
    </row>
    <row r="785" spans="9:9" x14ac:dyDescent="0.25">
      <c r="I785"/>
    </row>
    <row r="786" spans="9:9" x14ac:dyDescent="0.25">
      <c r="I786"/>
    </row>
    <row r="787" spans="9:9" x14ac:dyDescent="0.25">
      <c r="I787"/>
    </row>
    <row r="788" spans="9:9" x14ac:dyDescent="0.25">
      <c r="I788"/>
    </row>
    <row r="789" spans="9:9" x14ac:dyDescent="0.25">
      <c r="I789"/>
    </row>
    <row r="790" spans="9:9" x14ac:dyDescent="0.25">
      <c r="I790"/>
    </row>
    <row r="791" spans="9:9" x14ac:dyDescent="0.25">
      <c r="I791"/>
    </row>
    <row r="792" spans="9:9" x14ac:dyDescent="0.25">
      <c r="I792"/>
    </row>
    <row r="793" spans="9:9" x14ac:dyDescent="0.25">
      <c r="I793"/>
    </row>
    <row r="794" spans="9:9" x14ac:dyDescent="0.25">
      <c r="I794"/>
    </row>
    <row r="795" spans="9:9" x14ac:dyDescent="0.25">
      <c r="I795"/>
    </row>
    <row r="796" spans="9:9" x14ac:dyDescent="0.25">
      <c r="I796"/>
    </row>
    <row r="797" spans="9:9" x14ac:dyDescent="0.25">
      <c r="I797"/>
    </row>
    <row r="798" spans="9:9" x14ac:dyDescent="0.25">
      <c r="I798"/>
    </row>
    <row r="799" spans="9:9" x14ac:dyDescent="0.25">
      <c r="I799"/>
    </row>
    <row r="800" spans="9:9" x14ac:dyDescent="0.25">
      <c r="I800"/>
    </row>
    <row r="801" spans="9:9" x14ac:dyDescent="0.25">
      <c r="I801"/>
    </row>
    <row r="802" spans="9:9" x14ac:dyDescent="0.25">
      <c r="I802"/>
    </row>
    <row r="803" spans="9:9" x14ac:dyDescent="0.25">
      <c r="I803"/>
    </row>
    <row r="804" spans="9:9" x14ac:dyDescent="0.25">
      <c r="I804"/>
    </row>
    <row r="805" spans="9:9" x14ac:dyDescent="0.25">
      <c r="I805"/>
    </row>
    <row r="806" spans="9:9" x14ac:dyDescent="0.25">
      <c r="I806"/>
    </row>
    <row r="807" spans="9:9" x14ac:dyDescent="0.25">
      <c r="I807"/>
    </row>
    <row r="808" spans="9:9" x14ac:dyDescent="0.25">
      <c r="I808"/>
    </row>
    <row r="809" spans="9:9" x14ac:dyDescent="0.25">
      <c r="I809"/>
    </row>
    <row r="810" spans="9:9" x14ac:dyDescent="0.25">
      <c r="I810"/>
    </row>
    <row r="811" spans="9:9" x14ac:dyDescent="0.25">
      <c r="I811"/>
    </row>
    <row r="812" spans="9:9" x14ac:dyDescent="0.25">
      <c r="I812"/>
    </row>
    <row r="813" spans="9:9" x14ac:dyDescent="0.25">
      <c r="I813"/>
    </row>
    <row r="814" spans="9:9" x14ac:dyDescent="0.25">
      <c r="I814"/>
    </row>
    <row r="815" spans="9:9" x14ac:dyDescent="0.25">
      <c r="I815"/>
    </row>
    <row r="816" spans="9:9" x14ac:dyDescent="0.25">
      <c r="I816"/>
    </row>
    <row r="817" spans="9:9" x14ac:dyDescent="0.25">
      <c r="I817"/>
    </row>
    <row r="818" spans="9:9" x14ac:dyDescent="0.25">
      <c r="I818"/>
    </row>
    <row r="819" spans="9:9" x14ac:dyDescent="0.25">
      <c r="I819"/>
    </row>
    <row r="820" spans="9:9" x14ac:dyDescent="0.25">
      <c r="I820"/>
    </row>
    <row r="821" spans="9:9" x14ac:dyDescent="0.25">
      <c r="I821"/>
    </row>
    <row r="822" spans="9:9" x14ac:dyDescent="0.25">
      <c r="I822"/>
    </row>
    <row r="823" spans="9:9" x14ac:dyDescent="0.25">
      <c r="I823"/>
    </row>
    <row r="824" spans="9:9" x14ac:dyDescent="0.25">
      <c r="I824"/>
    </row>
    <row r="825" spans="9:9" x14ac:dyDescent="0.25">
      <c r="I825"/>
    </row>
    <row r="826" spans="9:9" x14ac:dyDescent="0.25">
      <c r="I826"/>
    </row>
    <row r="827" spans="9:9" x14ac:dyDescent="0.25">
      <c r="I827"/>
    </row>
    <row r="828" spans="9:9" x14ac:dyDescent="0.25">
      <c r="I828"/>
    </row>
    <row r="829" spans="9:9" x14ac:dyDescent="0.25">
      <c r="I829"/>
    </row>
    <row r="830" spans="9:9" x14ac:dyDescent="0.25">
      <c r="I830"/>
    </row>
    <row r="831" spans="9:9" x14ac:dyDescent="0.25">
      <c r="I831"/>
    </row>
    <row r="832" spans="9:9" x14ac:dyDescent="0.25">
      <c r="I832"/>
    </row>
    <row r="833" spans="9:9" x14ac:dyDescent="0.25">
      <c r="I833"/>
    </row>
    <row r="834" spans="9:9" x14ac:dyDescent="0.25">
      <c r="I834"/>
    </row>
    <row r="835" spans="9:9" x14ac:dyDescent="0.25">
      <c r="I835"/>
    </row>
    <row r="836" spans="9:9" x14ac:dyDescent="0.25">
      <c r="I836"/>
    </row>
    <row r="837" spans="9:9" x14ac:dyDescent="0.25">
      <c r="I837"/>
    </row>
    <row r="838" spans="9:9" x14ac:dyDescent="0.25">
      <c r="I838"/>
    </row>
    <row r="839" spans="9:9" x14ac:dyDescent="0.25">
      <c r="I839"/>
    </row>
    <row r="840" spans="9:9" x14ac:dyDescent="0.25">
      <c r="I840"/>
    </row>
    <row r="841" spans="9:9" x14ac:dyDescent="0.25">
      <c r="I841"/>
    </row>
    <row r="842" spans="9:9" x14ac:dyDescent="0.25">
      <c r="I842"/>
    </row>
    <row r="843" spans="9:9" x14ac:dyDescent="0.25">
      <c r="I843"/>
    </row>
    <row r="844" spans="9:9" x14ac:dyDescent="0.25">
      <c r="I844"/>
    </row>
    <row r="845" spans="9:9" x14ac:dyDescent="0.25">
      <c r="I845"/>
    </row>
    <row r="846" spans="9:9" x14ac:dyDescent="0.25">
      <c r="I846"/>
    </row>
    <row r="847" spans="9:9" x14ac:dyDescent="0.25">
      <c r="I847"/>
    </row>
    <row r="848" spans="9:9" x14ac:dyDescent="0.25">
      <c r="I848"/>
    </row>
    <row r="849" spans="9:9" x14ac:dyDescent="0.25">
      <c r="I849"/>
    </row>
    <row r="850" spans="9:9" x14ac:dyDescent="0.25">
      <c r="I850"/>
    </row>
    <row r="851" spans="9:9" x14ac:dyDescent="0.25">
      <c r="I851"/>
    </row>
    <row r="852" spans="9:9" x14ac:dyDescent="0.25">
      <c r="I852"/>
    </row>
    <row r="853" spans="9:9" x14ac:dyDescent="0.25">
      <c r="I853"/>
    </row>
    <row r="854" spans="9:9" x14ac:dyDescent="0.25">
      <c r="I854"/>
    </row>
    <row r="855" spans="9:9" x14ac:dyDescent="0.25">
      <c r="I855"/>
    </row>
    <row r="856" spans="9:9" x14ac:dyDescent="0.25">
      <c r="I856"/>
    </row>
    <row r="857" spans="9:9" x14ac:dyDescent="0.25">
      <c r="I857"/>
    </row>
    <row r="858" spans="9:9" x14ac:dyDescent="0.25">
      <c r="I858"/>
    </row>
    <row r="859" spans="9:9" x14ac:dyDescent="0.25">
      <c r="I859"/>
    </row>
    <row r="860" spans="9:9" x14ac:dyDescent="0.25">
      <c r="I860"/>
    </row>
    <row r="861" spans="9:9" x14ac:dyDescent="0.25">
      <c r="I861"/>
    </row>
    <row r="862" spans="9:9" x14ac:dyDescent="0.25">
      <c r="I862"/>
    </row>
    <row r="863" spans="9:9" x14ac:dyDescent="0.25">
      <c r="I863"/>
    </row>
    <row r="864" spans="9:9" x14ac:dyDescent="0.25">
      <c r="I864"/>
    </row>
    <row r="865" spans="9:9" x14ac:dyDescent="0.25">
      <c r="I865"/>
    </row>
    <row r="866" spans="9:9" x14ac:dyDescent="0.25">
      <c r="I866"/>
    </row>
    <row r="867" spans="9:9" x14ac:dyDescent="0.25">
      <c r="I867"/>
    </row>
    <row r="868" spans="9:9" x14ac:dyDescent="0.25">
      <c r="I868"/>
    </row>
    <row r="869" spans="9:9" x14ac:dyDescent="0.25">
      <c r="I869"/>
    </row>
    <row r="870" spans="9:9" x14ac:dyDescent="0.25">
      <c r="I870"/>
    </row>
    <row r="871" spans="9:9" x14ac:dyDescent="0.25">
      <c r="I871"/>
    </row>
    <row r="872" spans="9:9" x14ac:dyDescent="0.25">
      <c r="I872"/>
    </row>
    <row r="873" spans="9:9" x14ac:dyDescent="0.25">
      <c r="I873"/>
    </row>
    <row r="874" spans="9:9" x14ac:dyDescent="0.25">
      <c r="I874"/>
    </row>
    <row r="875" spans="9:9" x14ac:dyDescent="0.25">
      <c r="I875"/>
    </row>
    <row r="876" spans="9:9" x14ac:dyDescent="0.25">
      <c r="I876"/>
    </row>
    <row r="877" spans="9:9" x14ac:dyDescent="0.25">
      <c r="I877"/>
    </row>
    <row r="878" spans="9:9" x14ac:dyDescent="0.25">
      <c r="I878"/>
    </row>
    <row r="879" spans="9:9" x14ac:dyDescent="0.25">
      <c r="I879"/>
    </row>
    <row r="880" spans="9:9" x14ac:dyDescent="0.25">
      <c r="I880"/>
    </row>
    <row r="881" spans="9:9" x14ac:dyDescent="0.25">
      <c r="I881"/>
    </row>
    <row r="882" spans="9:9" x14ac:dyDescent="0.25">
      <c r="I882"/>
    </row>
    <row r="883" spans="9:9" x14ac:dyDescent="0.25">
      <c r="I883"/>
    </row>
    <row r="884" spans="9:9" x14ac:dyDescent="0.25">
      <c r="I884"/>
    </row>
    <row r="885" spans="9:9" x14ac:dyDescent="0.25">
      <c r="I885"/>
    </row>
    <row r="886" spans="9:9" x14ac:dyDescent="0.25">
      <c r="I886"/>
    </row>
    <row r="887" spans="9:9" x14ac:dyDescent="0.25">
      <c r="I887"/>
    </row>
    <row r="888" spans="9:9" x14ac:dyDescent="0.25">
      <c r="I888"/>
    </row>
    <row r="889" spans="9:9" x14ac:dyDescent="0.25">
      <c r="I889"/>
    </row>
    <row r="890" spans="9:9" x14ac:dyDescent="0.25">
      <c r="I890"/>
    </row>
    <row r="891" spans="9:9" x14ac:dyDescent="0.25">
      <c r="I891"/>
    </row>
    <row r="892" spans="9:9" x14ac:dyDescent="0.25">
      <c r="I892"/>
    </row>
    <row r="893" spans="9:9" x14ac:dyDescent="0.25">
      <c r="I893"/>
    </row>
    <row r="894" spans="9:9" x14ac:dyDescent="0.25">
      <c r="I894"/>
    </row>
    <row r="895" spans="9:9" x14ac:dyDescent="0.25">
      <c r="I895"/>
    </row>
    <row r="896" spans="9:9" x14ac:dyDescent="0.25">
      <c r="I896"/>
    </row>
    <row r="897" spans="9:9" x14ac:dyDescent="0.25">
      <c r="I897"/>
    </row>
    <row r="898" spans="9:9" x14ac:dyDescent="0.25">
      <c r="I898"/>
    </row>
    <row r="899" spans="9:9" x14ac:dyDescent="0.25">
      <c r="I899"/>
    </row>
    <row r="900" spans="9:9" x14ac:dyDescent="0.25">
      <c r="I900"/>
    </row>
    <row r="901" spans="9:9" x14ac:dyDescent="0.25">
      <c r="I901"/>
    </row>
    <row r="902" spans="9:9" x14ac:dyDescent="0.25">
      <c r="I902"/>
    </row>
    <row r="903" spans="9:9" x14ac:dyDescent="0.25">
      <c r="I903"/>
    </row>
    <row r="904" spans="9:9" x14ac:dyDescent="0.25">
      <c r="I904"/>
    </row>
    <row r="905" spans="9:9" x14ac:dyDescent="0.25">
      <c r="I905"/>
    </row>
    <row r="906" spans="9:9" x14ac:dyDescent="0.25">
      <c r="I906"/>
    </row>
    <row r="907" spans="9:9" x14ac:dyDescent="0.25">
      <c r="I907"/>
    </row>
    <row r="908" spans="9:9" x14ac:dyDescent="0.25">
      <c r="I908"/>
    </row>
    <row r="909" spans="9:9" x14ac:dyDescent="0.25">
      <c r="I909"/>
    </row>
    <row r="910" spans="9:9" x14ac:dyDescent="0.25">
      <c r="I910"/>
    </row>
    <row r="911" spans="9:9" x14ac:dyDescent="0.25">
      <c r="I911"/>
    </row>
    <row r="912" spans="9:9" x14ac:dyDescent="0.25">
      <c r="I912"/>
    </row>
    <row r="913" spans="9:9" x14ac:dyDescent="0.25">
      <c r="I913"/>
    </row>
    <row r="914" spans="9:9" x14ac:dyDescent="0.25">
      <c r="I914"/>
    </row>
    <row r="915" spans="9:9" x14ac:dyDescent="0.25">
      <c r="I915"/>
    </row>
    <row r="916" spans="9:9" x14ac:dyDescent="0.25">
      <c r="I916"/>
    </row>
    <row r="917" spans="9:9" x14ac:dyDescent="0.25">
      <c r="I917"/>
    </row>
    <row r="918" spans="9:9" x14ac:dyDescent="0.25">
      <c r="I918"/>
    </row>
    <row r="919" spans="9:9" x14ac:dyDescent="0.25">
      <c r="I919"/>
    </row>
    <row r="920" spans="9:9" x14ac:dyDescent="0.25">
      <c r="I920"/>
    </row>
    <row r="921" spans="9:9" x14ac:dyDescent="0.25">
      <c r="I921"/>
    </row>
    <row r="922" spans="9:9" x14ac:dyDescent="0.25">
      <c r="I922"/>
    </row>
    <row r="923" spans="9:9" x14ac:dyDescent="0.25">
      <c r="I923"/>
    </row>
    <row r="924" spans="9:9" x14ac:dyDescent="0.25">
      <c r="I924"/>
    </row>
    <row r="925" spans="9:9" x14ac:dyDescent="0.25">
      <c r="I925"/>
    </row>
    <row r="926" spans="9:9" x14ac:dyDescent="0.25">
      <c r="I926"/>
    </row>
    <row r="927" spans="9:9" x14ac:dyDescent="0.25">
      <c r="I927"/>
    </row>
    <row r="928" spans="9:9" x14ac:dyDescent="0.25">
      <c r="I928"/>
    </row>
    <row r="929" spans="9:9" x14ac:dyDescent="0.25">
      <c r="I929"/>
    </row>
    <row r="930" spans="9:9" x14ac:dyDescent="0.25">
      <c r="I930"/>
    </row>
    <row r="931" spans="9:9" x14ac:dyDescent="0.25">
      <c r="I931"/>
    </row>
    <row r="932" spans="9:9" x14ac:dyDescent="0.25">
      <c r="I932"/>
    </row>
    <row r="933" spans="9:9" x14ac:dyDescent="0.25">
      <c r="I933"/>
    </row>
    <row r="934" spans="9:9" x14ac:dyDescent="0.25">
      <c r="I934"/>
    </row>
    <row r="935" spans="9:9" x14ac:dyDescent="0.25">
      <c r="I935"/>
    </row>
    <row r="936" spans="9:9" x14ac:dyDescent="0.25">
      <c r="I936"/>
    </row>
    <row r="937" spans="9:9" x14ac:dyDescent="0.25">
      <c r="I937"/>
    </row>
    <row r="938" spans="9:9" x14ac:dyDescent="0.25">
      <c r="I938"/>
    </row>
    <row r="939" spans="9:9" x14ac:dyDescent="0.25">
      <c r="I939"/>
    </row>
    <row r="940" spans="9:9" x14ac:dyDescent="0.25">
      <c r="I940"/>
    </row>
    <row r="941" spans="9:9" x14ac:dyDescent="0.25">
      <c r="I941"/>
    </row>
    <row r="942" spans="9:9" x14ac:dyDescent="0.25">
      <c r="I942"/>
    </row>
    <row r="943" spans="9:9" x14ac:dyDescent="0.25">
      <c r="I943"/>
    </row>
    <row r="944" spans="9:9" x14ac:dyDescent="0.25">
      <c r="I944"/>
    </row>
    <row r="945" spans="9:9" x14ac:dyDescent="0.25">
      <c r="I945"/>
    </row>
    <row r="946" spans="9:9" x14ac:dyDescent="0.25">
      <c r="I946"/>
    </row>
    <row r="947" spans="9:9" x14ac:dyDescent="0.25">
      <c r="I947"/>
    </row>
    <row r="948" spans="9:9" x14ac:dyDescent="0.25">
      <c r="I948"/>
    </row>
    <row r="949" spans="9:9" x14ac:dyDescent="0.25">
      <c r="I949"/>
    </row>
    <row r="950" spans="9:9" x14ac:dyDescent="0.25">
      <c r="I950"/>
    </row>
    <row r="951" spans="9:9" x14ac:dyDescent="0.25">
      <c r="I951"/>
    </row>
    <row r="952" spans="9:9" x14ac:dyDescent="0.25">
      <c r="I952"/>
    </row>
    <row r="953" spans="9:9" x14ac:dyDescent="0.25">
      <c r="I953"/>
    </row>
    <row r="954" spans="9:9" x14ac:dyDescent="0.25">
      <c r="I954"/>
    </row>
    <row r="955" spans="9:9" x14ac:dyDescent="0.25">
      <c r="I955"/>
    </row>
    <row r="956" spans="9:9" x14ac:dyDescent="0.25">
      <c r="I956"/>
    </row>
    <row r="957" spans="9:9" x14ac:dyDescent="0.25">
      <c r="I957"/>
    </row>
    <row r="958" spans="9:9" x14ac:dyDescent="0.25">
      <c r="I958"/>
    </row>
    <row r="959" spans="9:9" x14ac:dyDescent="0.25">
      <c r="I959"/>
    </row>
    <row r="960" spans="9:9" x14ac:dyDescent="0.25">
      <c r="I960"/>
    </row>
    <row r="961" spans="9:9" x14ac:dyDescent="0.25">
      <c r="I961"/>
    </row>
    <row r="962" spans="9:9" x14ac:dyDescent="0.25">
      <c r="I962"/>
    </row>
    <row r="963" spans="9:9" x14ac:dyDescent="0.25">
      <c r="I963"/>
    </row>
    <row r="964" spans="9:9" x14ac:dyDescent="0.25">
      <c r="I964"/>
    </row>
    <row r="965" spans="9:9" x14ac:dyDescent="0.25">
      <c r="I965"/>
    </row>
    <row r="966" spans="9:9" x14ac:dyDescent="0.25">
      <c r="I966"/>
    </row>
    <row r="967" spans="9:9" x14ac:dyDescent="0.25">
      <c r="I967"/>
    </row>
    <row r="968" spans="9:9" x14ac:dyDescent="0.25">
      <c r="I968"/>
    </row>
    <row r="969" spans="9:9" x14ac:dyDescent="0.25">
      <c r="I969"/>
    </row>
    <row r="970" spans="9:9" x14ac:dyDescent="0.25">
      <c r="I970"/>
    </row>
    <row r="971" spans="9:9" x14ac:dyDescent="0.25">
      <c r="I971"/>
    </row>
    <row r="972" spans="9:9" x14ac:dyDescent="0.25">
      <c r="I972"/>
    </row>
    <row r="973" spans="9:9" x14ac:dyDescent="0.25">
      <c r="I973"/>
    </row>
    <row r="974" spans="9:9" x14ac:dyDescent="0.25">
      <c r="I974"/>
    </row>
    <row r="975" spans="9:9" x14ac:dyDescent="0.25">
      <c r="I975"/>
    </row>
    <row r="976" spans="9:9" x14ac:dyDescent="0.25">
      <c r="I976"/>
    </row>
    <row r="977" spans="9:9" x14ac:dyDescent="0.25">
      <c r="I977"/>
    </row>
    <row r="978" spans="9:9" x14ac:dyDescent="0.25">
      <c r="I978"/>
    </row>
    <row r="979" spans="9:9" x14ac:dyDescent="0.25">
      <c r="I979"/>
    </row>
    <row r="980" spans="9:9" x14ac:dyDescent="0.25">
      <c r="I980"/>
    </row>
    <row r="981" spans="9:9" x14ac:dyDescent="0.25">
      <c r="I981"/>
    </row>
    <row r="982" spans="9:9" x14ac:dyDescent="0.25">
      <c r="I982"/>
    </row>
    <row r="983" spans="9:9" x14ac:dyDescent="0.25">
      <c r="I983"/>
    </row>
    <row r="984" spans="9:9" x14ac:dyDescent="0.25">
      <c r="I984"/>
    </row>
    <row r="985" spans="9:9" x14ac:dyDescent="0.25">
      <c r="I985"/>
    </row>
    <row r="986" spans="9:9" x14ac:dyDescent="0.25">
      <c r="I986"/>
    </row>
    <row r="987" spans="9:9" x14ac:dyDescent="0.25">
      <c r="I987"/>
    </row>
    <row r="988" spans="9:9" x14ac:dyDescent="0.25">
      <c r="I988"/>
    </row>
    <row r="989" spans="9:9" x14ac:dyDescent="0.25">
      <c r="I989"/>
    </row>
    <row r="990" spans="9:9" x14ac:dyDescent="0.25">
      <c r="I990"/>
    </row>
    <row r="991" spans="9:9" x14ac:dyDescent="0.25">
      <c r="I991"/>
    </row>
    <row r="992" spans="9:9" x14ac:dyDescent="0.25">
      <c r="I992"/>
    </row>
    <row r="993" spans="9:9" x14ac:dyDescent="0.25">
      <c r="I993"/>
    </row>
    <row r="994" spans="9:9" x14ac:dyDescent="0.25">
      <c r="I994"/>
    </row>
    <row r="995" spans="9:9" x14ac:dyDescent="0.25">
      <c r="I995"/>
    </row>
    <row r="996" spans="9:9" x14ac:dyDescent="0.25">
      <c r="I996"/>
    </row>
    <row r="997" spans="9:9" x14ac:dyDescent="0.25">
      <c r="I997"/>
    </row>
    <row r="998" spans="9:9" x14ac:dyDescent="0.25">
      <c r="I998"/>
    </row>
    <row r="999" spans="9:9" x14ac:dyDescent="0.25">
      <c r="I999"/>
    </row>
    <row r="1000" spans="9:9" x14ac:dyDescent="0.25">
      <c r="I1000"/>
    </row>
    <row r="1001" spans="9:9" x14ac:dyDescent="0.25">
      <c r="I1001"/>
    </row>
    <row r="1002" spans="9:9" x14ac:dyDescent="0.25">
      <c r="I1002"/>
    </row>
    <row r="1003" spans="9:9" x14ac:dyDescent="0.25">
      <c r="I1003"/>
    </row>
    <row r="1004" spans="9:9" x14ac:dyDescent="0.25">
      <c r="I1004"/>
    </row>
    <row r="1005" spans="9:9" x14ac:dyDescent="0.25">
      <c r="I1005"/>
    </row>
    <row r="1006" spans="9:9" x14ac:dyDescent="0.25">
      <c r="I1006"/>
    </row>
    <row r="1007" spans="9:9" x14ac:dyDescent="0.25">
      <c r="I1007"/>
    </row>
    <row r="1008" spans="9:9" x14ac:dyDescent="0.25">
      <c r="I1008"/>
    </row>
    <row r="1009" spans="9:9" x14ac:dyDescent="0.25">
      <c r="I1009"/>
    </row>
    <row r="1010" spans="9:9" x14ac:dyDescent="0.25">
      <c r="I1010"/>
    </row>
  </sheetData>
  <sortState ref="B6:B63">
    <sortCondition ref="B6"/>
  </sortState>
  <mergeCells count="3">
    <mergeCell ref="D3:E3"/>
    <mergeCell ref="D2:E2"/>
    <mergeCell ref="D1:E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staPasta_de_trabalho.executaCriacao">
                <anchor moveWithCells="1" sizeWithCells="1">
                  <from>
                    <xdr:col>1</xdr:col>
                    <xdr:colOff>1895475</xdr:colOff>
                    <xdr:row>0</xdr:row>
                    <xdr:rowOff>19050</xdr:rowOff>
                  </from>
                  <to>
                    <xdr:col>2</xdr:col>
                    <xdr:colOff>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A1:H39"/>
  <sheetViews>
    <sheetView workbookViewId="0">
      <pane ySplit="1" topLeftCell="A2" activePane="bottomLeft" state="frozen"/>
      <selection pane="bottomLeft" activeCell="H13" sqref="H13"/>
    </sheetView>
  </sheetViews>
  <sheetFormatPr defaultRowHeight="15" x14ac:dyDescent="0.25"/>
  <cols>
    <col min="1" max="1" width="24.28515625" customWidth="1"/>
    <col min="2" max="2" width="3.7109375" style="15" customWidth="1"/>
    <col min="3" max="3" width="22.85546875" customWidth="1"/>
    <col min="4" max="4" width="4.42578125" bestFit="1" customWidth="1"/>
    <col min="5" max="5" width="10.140625" customWidth="1"/>
    <col min="6" max="6" width="46.85546875" customWidth="1"/>
    <col min="7" max="7" width="11.85546875" customWidth="1"/>
    <col min="8" max="8" width="7.140625" customWidth="1"/>
  </cols>
  <sheetData>
    <row r="1" spans="1:8" s="2" customFormat="1" ht="21" customHeight="1" x14ac:dyDescent="0.25">
      <c r="A1" s="2" t="s">
        <v>9</v>
      </c>
      <c r="B1" s="18"/>
      <c r="C1" s="2" t="s">
        <v>40</v>
      </c>
      <c r="D1" s="2" t="s">
        <v>18</v>
      </c>
      <c r="E1" s="2" t="s">
        <v>10</v>
      </c>
      <c r="F1" s="2" t="s">
        <v>11</v>
      </c>
      <c r="G1" s="19" t="s">
        <v>19</v>
      </c>
      <c r="H1" s="2">
        <v>7</v>
      </c>
    </row>
    <row r="2" spans="1:8" x14ac:dyDescent="0.25">
      <c r="A2" t="s">
        <v>28</v>
      </c>
      <c r="C2" t="str">
        <f t="shared" ref="C2:C3" si="0">A$2</f>
        <v>Formulário.docx</v>
      </c>
      <c r="D2">
        <v>1</v>
      </c>
      <c r="E2" s="13" t="s">
        <v>12</v>
      </c>
      <c r="F2" t="str">
        <f>fvc("'Criador pastas'!B",$H$1)</f>
        <v>Recebimento de ducumento3</v>
      </c>
    </row>
    <row r="3" spans="1:8" x14ac:dyDescent="0.25">
      <c r="A3" t="s">
        <v>39</v>
      </c>
      <c r="C3" t="str">
        <f t="shared" si="0"/>
        <v>Formulário.docx</v>
      </c>
      <c r="D3">
        <v>2</v>
      </c>
      <c r="E3" s="13" t="s">
        <v>50</v>
      </c>
      <c r="F3" t="str">
        <f>fvc("'Criador pastas'!I",$H$1)</f>
        <v>-</v>
      </c>
    </row>
    <row r="4" spans="1:8" x14ac:dyDescent="0.25">
      <c r="C4" t="str">
        <f>A$2</f>
        <v>Formulário.docx</v>
      </c>
      <c r="D4">
        <v>3</v>
      </c>
      <c r="E4" s="13" t="s">
        <v>13</v>
      </c>
      <c r="F4" t="str">
        <f>fvc("'Criador pastas'!$A","5"," ")&amp; fvc("'Criador pastas'!G",$H$1," (")&amp;fvc("'Criador pastas'!H",$H$1,")")</f>
        <v>Academico Noite (Terça)</v>
      </c>
    </row>
    <row r="5" spans="1:8" x14ac:dyDescent="0.25">
      <c r="C5" t="str">
        <f>A$2</f>
        <v>Formulário.docx</v>
      </c>
      <c r="D5">
        <v>4</v>
      </c>
      <c r="E5" s="13" t="s">
        <v>51</v>
      </c>
      <c r="F5" t="str">
        <f>fvc("'Criador pastas'!J",$H$1)</f>
        <v/>
      </c>
    </row>
    <row r="6" spans="1:8" x14ac:dyDescent="0.25">
      <c r="C6" t="str">
        <f t="shared" ref="C6:C8" si="1">A$2</f>
        <v>Formulário.docx</v>
      </c>
      <c r="D6">
        <v>5</v>
      </c>
      <c r="E6" s="13" t="s">
        <v>14</v>
      </c>
      <c r="F6" t="str">
        <f>fvc("'Criador pastas'!C",$H$1)</f>
        <v>Lojas colombo3</v>
      </c>
    </row>
    <row r="7" spans="1:8" x14ac:dyDescent="0.25">
      <c r="C7" t="str">
        <f t="shared" si="1"/>
        <v>Formulário.docx</v>
      </c>
      <c r="D7">
        <v>6</v>
      </c>
      <c r="E7" s="14" t="s">
        <v>15</v>
      </c>
      <c r="F7" t="str">
        <f>IF(fvc("'Criador pastas'!D",$H$1)=0," - ",fvc("'Criador pastas'!D",$H$1))</f>
        <v>3171-12</v>
      </c>
    </row>
    <row r="8" spans="1:8" x14ac:dyDescent="0.25">
      <c r="C8" t="str">
        <f t="shared" si="1"/>
        <v>Formulário.docx</v>
      </c>
      <c r="D8">
        <v>7</v>
      </c>
      <c r="E8" s="14" t="s">
        <v>16</v>
      </c>
      <c r="F8" t="str">
        <f>IF(fvc("'Criador pastas'!E",$H$1)=0," - ",fvc("'Criador pastas'!E",$H$1))</f>
        <v>3171-11</v>
      </c>
    </row>
    <row r="9" spans="1:8" x14ac:dyDescent="0.25">
      <c r="C9" t="str">
        <f t="shared" ref="C9:C28" si="2">A$2</f>
        <v>Formulário.docx</v>
      </c>
      <c r="D9">
        <v>8</v>
      </c>
      <c r="E9" s="14" t="s">
        <v>17</v>
      </c>
      <c r="F9" t="str">
        <f>IF(fvc("'Criador pastas'!F",$H$1)=0," - ",fvc("'Criador pastas'!F",$H$1))</f>
        <v>3171-12</v>
      </c>
    </row>
    <row r="10" spans="1:8" x14ac:dyDescent="0.25">
      <c r="C10" t="str">
        <f>A$3</f>
        <v>Identificação.docx</v>
      </c>
      <c r="D10">
        <v>1</v>
      </c>
      <c r="E10" s="13" t="s">
        <v>12</v>
      </c>
      <c r="F10" t="str">
        <f>fvc("'Criador pastas'!B",$H$1)</f>
        <v>Recebimento de ducumento3</v>
      </c>
    </row>
    <row r="11" spans="1:8" x14ac:dyDescent="0.25">
      <c r="C11" t="str">
        <f>A$3</f>
        <v>Identificação.docx</v>
      </c>
      <c r="D11">
        <v>2</v>
      </c>
      <c r="E11" s="13" t="s">
        <v>13</v>
      </c>
      <c r="F11" t="str">
        <f>fvc("'Criador pastas'!$A","5"," ")&amp; fvc("'Criador pastas'!G",$H$1," (")&amp;fvc("'Criador pastas'!H",$H$1,")")</f>
        <v>Academico Noite (Terça)</v>
      </c>
    </row>
    <row r="12" spans="1:8" x14ac:dyDescent="0.25">
      <c r="C12" t="str">
        <f>A$3</f>
        <v>Identificação.docx</v>
      </c>
      <c r="D12">
        <v>3</v>
      </c>
      <c r="E12" s="13" t="s">
        <v>14</v>
      </c>
      <c r="F12" t="str">
        <f>fvc("'Criador pastas'!C",$H$1)</f>
        <v>Lojas colombo3</v>
      </c>
    </row>
    <row r="13" spans="1:8" x14ac:dyDescent="0.25">
      <c r="C13" t="str">
        <f>A$3</f>
        <v>Identificação.docx</v>
      </c>
      <c r="D13">
        <v>4</v>
      </c>
      <c r="E13" s="14" t="s">
        <v>15</v>
      </c>
      <c r="F13" t="str">
        <f>IF(fvc("'Criador pastas'!D",$H$1)=0," - ",fvc("'Criador pastas'!D",$H$1))</f>
        <v>3171-12</v>
      </c>
    </row>
    <row r="14" spans="1:8" x14ac:dyDescent="0.25">
      <c r="C14" t="str">
        <f>A$3</f>
        <v>Identificação.docx</v>
      </c>
      <c r="D14">
        <v>5</v>
      </c>
      <c r="E14" s="14" t="s">
        <v>16</v>
      </c>
      <c r="F14" t="str">
        <f>IF(fvc("'Criador pastas'!E",$H$1)=0," - ",fvc("'Criador pastas'!E",$H$1))</f>
        <v>3171-11</v>
      </c>
    </row>
    <row r="15" spans="1:8" x14ac:dyDescent="0.25">
      <c r="C15" t="str">
        <f>A$3</f>
        <v>Identificação.docx</v>
      </c>
      <c r="D15">
        <v>6</v>
      </c>
      <c r="E15" s="14" t="s">
        <v>17</v>
      </c>
      <c r="F15" t="str">
        <f>IF(fvc("'Criador pastas'!F",$H$1)=0," - ",fvc("'Criador pastas'!F",$H$1))</f>
        <v>3171-12</v>
      </c>
    </row>
    <row r="16" spans="1:8" x14ac:dyDescent="0.25">
      <c r="C16">
        <f>A$4</f>
        <v>0</v>
      </c>
      <c r="D16">
        <v>1</v>
      </c>
      <c r="E16" s="13" t="s">
        <v>12</v>
      </c>
      <c r="F16" t="str">
        <f>fvc("'Criador pastas'!B",$H$1)</f>
        <v>Recebimento de ducumento3</v>
      </c>
    </row>
    <row r="17" spans="3:6" x14ac:dyDescent="0.25">
      <c r="C17">
        <f t="shared" ref="C17:C21" si="3">A$4</f>
        <v>0</v>
      </c>
      <c r="D17">
        <v>2</v>
      </c>
      <c r="E17" s="13" t="s">
        <v>13</v>
      </c>
      <c r="F17" t="str">
        <f>fvc("'Criador pastas'!$A","5"," ")&amp; fvc("'Criador pastas'!G",$H$1," (")&amp;fvc("'Criador pastas'!H",$H$1,")")</f>
        <v>Academico Noite (Terça)</v>
      </c>
    </row>
    <row r="18" spans="3:6" x14ac:dyDescent="0.25">
      <c r="C18">
        <f t="shared" si="3"/>
        <v>0</v>
      </c>
      <c r="D18">
        <v>3</v>
      </c>
      <c r="E18" s="13" t="s">
        <v>14</v>
      </c>
      <c r="F18" t="str">
        <f>fvc("'Criador pastas'!C",$H$1)</f>
        <v>Lojas colombo3</v>
      </c>
    </row>
    <row r="19" spans="3:6" x14ac:dyDescent="0.25">
      <c r="C19">
        <f t="shared" si="3"/>
        <v>0</v>
      </c>
      <c r="D19">
        <v>4</v>
      </c>
      <c r="E19" s="14" t="s">
        <v>15</v>
      </c>
      <c r="F19" t="str">
        <f>IF(fvc("'Criador pastas'!D",$H$1)=0," - ",fvc("'Criador pastas'!D",$H$1))</f>
        <v>3171-12</v>
      </c>
    </row>
    <row r="20" spans="3:6" x14ac:dyDescent="0.25">
      <c r="C20">
        <f t="shared" si="3"/>
        <v>0</v>
      </c>
      <c r="D20">
        <v>5</v>
      </c>
      <c r="E20" s="14" t="s">
        <v>16</v>
      </c>
      <c r="F20" t="str">
        <f>IF(fvc("'Criador pastas'!E",$H$1)=0," - ",fvc("'Criador pastas'!E",$H$1))</f>
        <v>3171-11</v>
      </c>
    </row>
    <row r="21" spans="3:6" x14ac:dyDescent="0.25">
      <c r="C21">
        <f t="shared" si="3"/>
        <v>0</v>
      </c>
      <c r="D21">
        <v>6</v>
      </c>
      <c r="E21" s="14" t="s">
        <v>17</v>
      </c>
      <c r="F21" t="str">
        <f>IF(fvc("'Criador pastas'!F",$H$1)=0," - ",fvc("'Criador pastas'!F",$H$1))</f>
        <v>3171-12</v>
      </c>
    </row>
    <row r="22" spans="3:6" x14ac:dyDescent="0.25">
      <c r="C22">
        <f>A$6</f>
        <v>0</v>
      </c>
      <c r="D22">
        <v>1</v>
      </c>
      <c r="E22" s="13" t="s">
        <v>12</v>
      </c>
      <c r="F22" t="str">
        <f>fvc("'Criador pastas'!B",$H$1)</f>
        <v>Recebimento de ducumento3</v>
      </c>
    </row>
    <row r="23" spans="3:6" x14ac:dyDescent="0.25">
      <c r="C23">
        <f t="shared" ref="C23:C27" si="4">A$6</f>
        <v>0</v>
      </c>
      <c r="D23">
        <v>2</v>
      </c>
      <c r="E23" s="13" t="s">
        <v>13</v>
      </c>
      <c r="F23" t="str">
        <f>fvc("'Criador pastas'!$A","5"," ")&amp; fvc("'Criador pastas'!G",$H$1," (")&amp;fvc("'Criador pastas'!H",$H$1,")")</f>
        <v>Academico Noite (Terça)</v>
      </c>
    </row>
    <row r="24" spans="3:6" x14ac:dyDescent="0.25">
      <c r="C24">
        <f t="shared" si="4"/>
        <v>0</v>
      </c>
      <c r="D24">
        <v>3</v>
      </c>
      <c r="E24" s="13" t="s">
        <v>14</v>
      </c>
      <c r="F24" t="str">
        <f>fvc("'Criador pastas'!C",$H$1)</f>
        <v>Lojas colombo3</v>
      </c>
    </row>
    <row r="25" spans="3:6" x14ac:dyDescent="0.25">
      <c r="C25">
        <f t="shared" si="4"/>
        <v>0</v>
      </c>
      <c r="D25">
        <v>4</v>
      </c>
      <c r="E25" s="14" t="s">
        <v>15</v>
      </c>
      <c r="F25" t="str">
        <f>IF(fvc("'Criador pastas'!D",$H$1)=0," - ",fvc("'Criador pastas'!D",$H$1))</f>
        <v>3171-12</v>
      </c>
    </row>
    <row r="26" spans="3:6" x14ac:dyDescent="0.25">
      <c r="C26">
        <f t="shared" si="4"/>
        <v>0</v>
      </c>
      <c r="D26">
        <v>5</v>
      </c>
      <c r="E26" s="14" t="s">
        <v>16</v>
      </c>
      <c r="F26" t="e">
        <f>IF(fvc("'Criador pastas'!E",F31)=0," - ",fvc("'Criador pastas'!E",$H$1))</f>
        <v>#VALUE!</v>
      </c>
    </row>
    <row r="27" spans="3:6" x14ac:dyDescent="0.25">
      <c r="C27">
        <f t="shared" si="4"/>
        <v>0</v>
      </c>
      <c r="D27">
        <v>6</v>
      </c>
      <c r="E27" s="14" t="s">
        <v>17</v>
      </c>
      <c r="F27" t="str">
        <f>IF(fvc("'Criador pastas'!F",$H$1)=0," - ",fvc("'Criador pastas'!F",$H$1))</f>
        <v>3171-12</v>
      </c>
    </row>
    <row r="30" spans="3:6" x14ac:dyDescent="0.25">
      <c r="E30" s="13"/>
    </row>
    <row r="31" spans="3:6" x14ac:dyDescent="0.25">
      <c r="E31" s="14"/>
    </row>
    <row r="33" spans="5:5" x14ac:dyDescent="0.25">
      <c r="E33" s="14"/>
    </row>
    <row r="34" spans="5:5" x14ac:dyDescent="0.25">
      <c r="E34" s="13"/>
    </row>
    <row r="35" spans="5:5" x14ac:dyDescent="0.25">
      <c r="E35" s="13"/>
    </row>
    <row r="36" spans="5:5" x14ac:dyDescent="0.25">
      <c r="E36" s="13"/>
    </row>
    <row r="37" spans="5:5" x14ac:dyDescent="0.25">
      <c r="E37" s="14"/>
    </row>
    <row r="38" spans="5:5" x14ac:dyDescent="0.25">
      <c r="E38" s="14"/>
    </row>
    <row r="39" spans="5:5" x14ac:dyDescent="0.25">
      <c r="E39" s="14"/>
    </row>
  </sheetData>
  <pageMargins left="0.511811024" right="0.511811024" top="0.78740157499999996" bottom="0.78740157499999996" header="0.31496062000000002" footer="0.31496062000000002"/>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Criador pastas</vt:lpstr>
      <vt:lpstr>Configurações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Neimar Moises</dc:creator>
  <cp:lastModifiedBy>neimarmoises</cp:lastModifiedBy>
  <cp:lastPrinted>2021-03-19T18:18:00Z</cp:lastPrinted>
  <dcterms:created xsi:type="dcterms:W3CDTF">2021-03-18T21:15:39Z</dcterms:created>
  <dcterms:modified xsi:type="dcterms:W3CDTF">2022-01-02T11:42:38Z</dcterms:modified>
</cp:coreProperties>
</file>